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franciscorodriguez/Downloads/"/>
    </mc:Choice>
  </mc:AlternateContent>
  <xr:revisionPtr revIDLastSave="0" documentId="13_ncr:1_{B56F4C48-BA6A-FB49-B736-045C9604B786}" xr6:coauthVersionLast="47" xr6:coauthVersionMax="47" xr10:uidLastSave="{00000000-0000-0000-0000-000000000000}"/>
  <bookViews>
    <workbookView xWindow="0" yWindow="600" windowWidth="38400" windowHeight="21000" tabRatio="500" xr2:uid="{00000000-000D-0000-FFFF-FFFF00000000}"/>
  </bookViews>
  <sheets>
    <sheet name="operators" sheetId="1" r:id="rId1"/>
    <sheet name="production" sheetId="2" r:id="rId2"/>
    <sheet name="financials" sheetId="3" r:id="rId3"/>
    <sheet name="calculations" sheetId="4" r:id="rId4"/>
    <sheet name="data_sourc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2" i="4" l="1"/>
  <c r="P22" i="4" s="1"/>
  <c r="K22" i="4"/>
  <c r="J22" i="4"/>
  <c r="O22" i="4" s="1"/>
  <c r="I22" i="4"/>
  <c r="F22" i="4"/>
  <c r="E22" i="4"/>
  <c r="N22" i="4" s="1"/>
  <c r="D22" i="4"/>
  <c r="H22" i="4" s="1"/>
  <c r="C22" i="4"/>
  <c r="G22" i="4" s="1"/>
  <c r="P21" i="4"/>
  <c r="O21" i="4"/>
  <c r="L21" i="4"/>
  <c r="K21" i="4"/>
  <c r="J21" i="4"/>
  <c r="I21" i="4"/>
  <c r="H21" i="4"/>
  <c r="G21" i="4"/>
  <c r="F21" i="4"/>
  <c r="E21" i="4"/>
  <c r="N21" i="4" s="1"/>
  <c r="D21" i="4"/>
  <c r="C21" i="4"/>
  <c r="M21" i="4" s="1"/>
  <c r="M20" i="4"/>
  <c r="L20" i="4"/>
  <c r="P20" i="4" s="1"/>
  <c r="K20" i="4"/>
  <c r="J20" i="4"/>
  <c r="O20" i="4" s="1"/>
  <c r="I20" i="4"/>
  <c r="F20" i="4"/>
  <c r="E20" i="4"/>
  <c r="N20" i="4" s="1"/>
  <c r="D20" i="4"/>
  <c r="H20" i="4" s="1"/>
  <c r="C20" i="4"/>
  <c r="G20" i="4" s="1"/>
  <c r="L19" i="4"/>
  <c r="P19" i="4" s="1"/>
  <c r="K19" i="4"/>
  <c r="J19" i="4"/>
  <c r="O19" i="4" s="1"/>
  <c r="I19" i="4"/>
  <c r="F19" i="4"/>
  <c r="E19" i="4"/>
  <c r="N19" i="4" s="1"/>
  <c r="D19" i="4"/>
  <c r="H19" i="4" s="1"/>
  <c r="C19" i="4"/>
  <c r="G19" i="4" s="1"/>
  <c r="P18" i="4"/>
  <c r="L18" i="4"/>
  <c r="K18" i="4"/>
  <c r="J18" i="4"/>
  <c r="O18" i="4" s="1"/>
  <c r="I18" i="4"/>
  <c r="H18" i="4"/>
  <c r="G18" i="4"/>
  <c r="F18" i="4"/>
  <c r="N18" i="4" s="1"/>
  <c r="E18" i="4"/>
  <c r="D18" i="4"/>
  <c r="C18" i="4"/>
  <c r="M18" i="4" s="1"/>
  <c r="P17" i="4"/>
  <c r="O17" i="4"/>
  <c r="M17" i="4"/>
  <c r="L17" i="4"/>
  <c r="K17" i="4"/>
  <c r="J17" i="4"/>
  <c r="I17" i="4"/>
  <c r="F17" i="4"/>
  <c r="H17" i="4" s="1"/>
  <c r="E17" i="4"/>
  <c r="N17" i="4" s="1"/>
  <c r="D17" i="4"/>
  <c r="C17" i="4"/>
  <c r="L16" i="4"/>
  <c r="P16" i="4" s="1"/>
  <c r="K16" i="4"/>
  <c r="J16" i="4"/>
  <c r="O16" i="4" s="1"/>
  <c r="I16" i="4"/>
  <c r="F16" i="4"/>
  <c r="E16" i="4"/>
  <c r="N16" i="4" s="1"/>
  <c r="D16" i="4"/>
  <c r="H16" i="4" s="1"/>
  <c r="C16" i="4"/>
  <c r="G16" i="4" s="1"/>
  <c r="L15" i="4"/>
  <c r="P15" i="4" s="1"/>
  <c r="K15" i="4"/>
  <c r="J15" i="4"/>
  <c r="O15" i="4" s="1"/>
  <c r="I15" i="4"/>
  <c r="F15" i="4"/>
  <c r="E15" i="4"/>
  <c r="N15" i="4" s="1"/>
  <c r="D15" i="4"/>
  <c r="H15" i="4" s="1"/>
  <c r="C15" i="4"/>
  <c r="G15" i="4" s="1"/>
  <c r="P14" i="4"/>
  <c r="O14" i="4"/>
  <c r="L14" i="4"/>
  <c r="K14" i="4"/>
  <c r="J14" i="4"/>
  <c r="I14" i="4"/>
  <c r="H14" i="4"/>
  <c r="G14" i="4"/>
  <c r="F14" i="4"/>
  <c r="N14" i="4" s="1"/>
  <c r="E14" i="4"/>
  <c r="D14" i="4"/>
  <c r="C14" i="4"/>
  <c r="M14" i="4" s="1"/>
  <c r="P13" i="4"/>
  <c r="O13" i="4"/>
  <c r="M13" i="4"/>
  <c r="L13" i="4"/>
  <c r="K13" i="4"/>
  <c r="J13" i="4"/>
  <c r="I13" i="4"/>
  <c r="F13" i="4"/>
  <c r="H13" i="4" s="1"/>
  <c r="E13" i="4"/>
  <c r="N13" i="4" s="1"/>
  <c r="D13" i="4"/>
  <c r="C13" i="4"/>
  <c r="L12" i="4"/>
  <c r="P12" i="4" s="1"/>
  <c r="K12" i="4"/>
  <c r="J12" i="4"/>
  <c r="I12" i="4"/>
  <c r="F12" i="4"/>
  <c r="E12" i="4"/>
  <c r="N12" i="4" s="1"/>
  <c r="D12" i="4"/>
  <c r="H12" i="4" s="1"/>
  <c r="C12" i="4"/>
  <c r="G12" i="4" s="1"/>
  <c r="L11" i="4"/>
  <c r="P11" i="4" s="1"/>
  <c r="K11" i="4"/>
  <c r="J11" i="4"/>
  <c r="O11" i="4" s="1"/>
  <c r="I11" i="4"/>
  <c r="F11" i="4"/>
  <c r="E11" i="4"/>
  <c r="N11" i="4" s="1"/>
  <c r="D11" i="4"/>
  <c r="H11" i="4" s="1"/>
  <c r="C11" i="4"/>
  <c r="G11" i="4" s="1"/>
  <c r="P10" i="4"/>
  <c r="O10" i="4"/>
  <c r="L10" i="4"/>
  <c r="K10" i="4"/>
  <c r="J10" i="4"/>
  <c r="I10" i="4"/>
  <c r="H10" i="4"/>
  <c r="G10" i="4"/>
  <c r="F10" i="4"/>
  <c r="N10" i="4" s="1"/>
  <c r="E10" i="4"/>
  <c r="D10" i="4"/>
  <c r="C10" i="4"/>
  <c r="M10" i="4" s="1"/>
  <c r="P9" i="4"/>
  <c r="O9" i="4"/>
  <c r="M9" i="4"/>
  <c r="L9" i="4"/>
  <c r="K9" i="4"/>
  <c r="J9" i="4"/>
  <c r="I9" i="4"/>
  <c r="F9" i="4"/>
  <c r="H9" i="4" s="1"/>
  <c r="E9" i="4"/>
  <c r="N9" i="4" s="1"/>
  <c r="D9" i="4"/>
  <c r="C9" i="4"/>
  <c r="L8" i="4"/>
  <c r="P8" i="4" s="1"/>
  <c r="K8" i="4"/>
  <c r="J8" i="4"/>
  <c r="I8" i="4"/>
  <c r="F8" i="4"/>
  <c r="E8" i="4"/>
  <c r="N8" i="4" s="1"/>
  <c r="D8" i="4"/>
  <c r="H8" i="4" s="1"/>
  <c r="C8" i="4"/>
  <c r="M8" i="4" s="1"/>
  <c r="L7" i="4"/>
  <c r="P7" i="4" s="1"/>
  <c r="K7" i="4"/>
  <c r="J7" i="4"/>
  <c r="O7" i="4" s="1"/>
  <c r="I7" i="4"/>
  <c r="F7" i="4"/>
  <c r="E7" i="4"/>
  <c r="N7" i="4" s="1"/>
  <c r="D7" i="4"/>
  <c r="H7" i="4" s="1"/>
  <c r="C7" i="4"/>
  <c r="G7" i="4" s="1"/>
  <c r="P6" i="4"/>
  <c r="O6" i="4"/>
  <c r="L6" i="4"/>
  <c r="K6" i="4"/>
  <c r="J6" i="4"/>
  <c r="I6" i="4"/>
  <c r="H6" i="4"/>
  <c r="G6" i="4"/>
  <c r="F6" i="4"/>
  <c r="N6" i="4" s="1"/>
  <c r="E6" i="4"/>
  <c r="D6" i="4"/>
  <c r="C6" i="4"/>
  <c r="M6" i="4" s="1"/>
  <c r="P5" i="4"/>
  <c r="O5" i="4"/>
  <c r="M5" i="4"/>
  <c r="L5" i="4"/>
  <c r="K5" i="4"/>
  <c r="J5" i="4"/>
  <c r="I5" i="4"/>
  <c r="F5" i="4"/>
  <c r="H5" i="4" s="1"/>
  <c r="E5" i="4"/>
  <c r="N5" i="4" s="1"/>
  <c r="D5" i="4"/>
  <c r="C5" i="4"/>
  <c r="L4" i="4"/>
  <c r="O4" i="4" s="1"/>
  <c r="K4" i="4"/>
  <c r="J4" i="4"/>
  <c r="I4" i="4"/>
  <c r="F4" i="4"/>
  <c r="E4" i="4"/>
  <c r="N4" i="4" s="1"/>
  <c r="D4" i="4"/>
  <c r="H4" i="4" s="1"/>
  <c r="C4" i="4"/>
  <c r="G4" i="4" s="1"/>
  <c r="M12" i="4" l="1"/>
  <c r="G13" i="4"/>
  <c r="M16" i="4"/>
  <c r="G17" i="4"/>
  <c r="M15" i="4"/>
  <c r="M19" i="4"/>
  <c r="M7" i="4"/>
  <c r="O8" i="4"/>
  <c r="P4" i="4"/>
  <c r="M4" i="4"/>
  <c r="G5" i="4"/>
  <c r="G8" i="4"/>
  <c r="M11" i="4"/>
  <c r="O12" i="4"/>
  <c r="M22" i="4"/>
  <c r="G9" i="4"/>
</calcChain>
</file>

<file path=xl/sharedStrings.xml><?xml version="1.0" encoding="utf-8"?>
<sst xmlns="http://schemas.openxmlformats.org/spreadsheetml/2006/main" count="358" uniqueCount="192">
  <si>
    <t>E&amp;P OPERATOR REFERENCE TABLE</t>
  </si>
  <si>
    <t>operator_id</t>
  </si>
  <si>
    <t>company_name</t>
  </si>
  <si>
    <t>ticker</t>
  </si>
  <si>
    <t>country</t>
  </si>
  <si>
    <t>primary_basin</t>
  </si>
  <si>
    <t>commodity_focus</t>
  </si>
  <si>
    <t>data_status</t>
  </si>
  <si>
    <t>Antero Resources</t>
  </si>
  <si>
    <t>AR</t>
  </si>
  <si>
    <t>USA</t>
  </si>
  <si>
    <t>Appalachia (Marcellus / Utica)</t>
  </si>
  <si>
    <t>Gas-weighted</t>
  </si>
  <si>
    <t>Complete</t>
  </si>
  <si>
    <t>BKV Corporation</t>
  </si>
  <si>
    <t>BKV</t>
  </si>
  <si>
    <t>Barnett Shale / Appalachia</t>
  </si>
  <si>
    <t>Canadian Natural Resources</t>
  </si>
  <si>
    <t>CNQ</t>
  </si>
  <si>
    <t>Canada</t>
  </si>
  <si>
    <t>Oil Sands / Montney / Pelican Lake</t>
  </si>
  <si>
    <t>Oil-weighted</t>
  </si>
  <si>
    <t>Cenovus Energy</t>
  </si>
  <si>
    <t>CVE</t>
  </si>
  <si>
    <t>Oil Sands / Deep Basin / Offshore</t>
  </si>
  <si>
    <t>Chevron</t>
  </si>
  <si>
    <t>CVX</t>
  </si>
  <si>
    <t>Permian / Gulf of Mexico / International</t>
  </si>
  <si>
    <t>Diversified</t>
  </si>
  <si>
    <t>Chord Energy</t>
  </si>
  <si>
    <t>CHRD</t>
  </si>
  <si>
    <t>Williston Basin (Bakken / Three Forks)</t>
  </si>
  <si>
    <t>ConocoPhillips</t>
  </si>
  <si>
    <t>COP</t>
  </si>
  <si>
    <t>Permian / Eagle Ford / Bakken / Alaska</t>
  </si>
  <si>
    <t>Coterra Energy</t>
  </si>
  <si>
    <t>CTRA</t>
  </si>
  <si>
    <t>Permian / Marcellus / Anadarko</t>
  </si>
  <si>
    <t>Devon Energy</t>
  </si>
  <si>
    <t>DVN</t>
  </si>
  <si>
    <t>Delaware Basin / Anadarko / Eagle Ford</t>
  </si>
  <si>
    <t>Diamondback Energy</t>
  </si>
  <si>
    <t>FANG</t>
  </si>
  <si>
    <t>Permian (Midland + Delaware)</t>
  </si>
  <si>
    <t>EOG Resources</t>
  </si>
  <si>
    <t>EOG</t>
  </si>
  <si>
    <t>Permian / Eagle Ford / Bakken</t>
  </si>
  <si>
    <t>EQT Corporation</t>
  </si>
  <si>
    <t>EQT</t>
  </si>
  <si>
    <t>Expand Energy</t>
  </si>
  <si>
    <t>EXE</t>
  </si>
  <si>
    <t>Haynesville / Appalachia (Marcellus)</t>
  </si>
  <si>
    <t>Complete – formerly Chesapeake</t>
  </si>
  <si>
    <t>ExxonMobil</t>
  </si>
  <si>
    <t>XOM</t>
  </si>
  <si>
    <t>Permian / Guyana / International</t>
  </si>
  <si>
    <t>Imperial Oil</t>
  </si>
  <si>
    <t>IMO</t>
  </si>
  <si>
    <t>Oil Sands (Kearl / Cold Lake) / Mackenzie</t>
  </si>
  <si>
    <t>Matador Resources</t>
  </si>
  <si>
    <t>MTDR</t>
  </si>
  <si>
    <t>Delaware Basin (Permian)</t>
  </si>
  <si>
    <t>Occidental Petroleum</t>
  </si>
  <si>
    <t>OXY</t>
  </si>
  <si>
    <t>Permian / Rockies / Gulf / International</t>
  </si>
  <si>
    <t>Suncor Energy</t>
  </si>
  <si>
    <t>SU</t>
  </si>
  <si>
    <t>Oil Sands / Offshore / East Coast</t>
  </si>
  <si>
    <t>Permian Resources</t>
  </si>
  <si>
    <t>PR</t>
  </si>
  <si>
    <t>QUARTERLY OIL &amp; GAS PRODUCTION  |  2023 Q1 – 2024 Q4</t>
  </si>
  <si>
    <t>Units: Oil = MBbl/d (thousands of barrels per day)  |  Gas = MMcf/d (millions of cubic feet per day)</t>
  </si>
  <si>
    <t>2023-Q1 Oil</t>
  </si>
  <si>
    <t>2023-Q1 Gas</t>
  </si>
  <si>
    <t>2023-Q2 Oil</t>
  </si>
  <si>
    <t>2023-Q2 Gas</t>
  </si>
  <si>
    <t>2023-Q3 Oil</t>
  </si>
  <si>
    <t>2023-Q3 Gas</t>
  </si>
  <si>
    <t>2023-Q4 Oil</t>
  </si>
  <si>
    <t>2023-Q4 Gas</t>
  </si>
  <si>
    <t>2024-Q1 Oil</t>
  </si>
  <si>
    <t>2024-Q1 Gas</t>
  </si>
  <si>
    <t>2024-Q2 Oil</t>
  </si>
  <si>
    <t>2024-Q2 Gas</t>
  </si>
  <si>
    <t>2024-Q3 Oil</t>
  </si>
  <si>
    <t>2024-Q3 Gas</t>
  </si>
  <si>
    <t>2024-Q4 Oil</t>
  </si>
  <si>
    <t>2024-Q4 Gas</t>
  </si>
  <si>
    <t>QUARTERLY FINANCIALS  |  CAPEX &amp; FREE CASH FLOW  |  2023 Q1 – 2024 Q4</t>
  </si>
  <si>
    <t>Units: Capex = $MM (millions USD)  |  FCF = $MM (millions USD)  |  Canadian companies reported in CAD$MM, converted at approximate period FX</t>
  </si>
  <si>
    <t>2023-Q1 Capex</t>
  </si>
  <si>
    <t>2023-Q1 FCF</t>
  </si>
  <si>
    <t>2023-Q2 Capex</t>
  </si>
  <si>
    <t>2023-Q2 FCF</t>
  </si>
  <si>
    <t>2023-Q3 Capex</t>
  </si>
  <si>
    <t>2023-Q3 FCF</t>
  </si>
  <si>
    <t>2023-Q4 Capex</t>
  </si>
  <si>
    <t>2023-Q4 FCF</t>
  </si>
  <si>
    <t>2024-Q1 Capex</t>
  </si>
  <si>
    <t>2024-Q1 FCF</t>
  </si>
  <si>
    <t>2024-Q2 Capex</t>
  </si>
  <si>
    <t>2024-Q2 FCF</t>
  </si>
  <si>
    <t>2024-Q3 Capex</t>
  </si>
  <si>
    <t>2024-Q3 FCF</t>
  </si>
  <si>
    <t>2024-Q4 Capex</t>
  </si>
  <si>
    <t>2024-Q4 FCF</t>
  </si>
  <si>
    <t>ANALYTICAL CALCULATIONS  |  Annual Averages · YoY Growth · CAGR · Capex Efficiency</t>
  </si>
  <si>
    <t>NOTE: Annual oil/gas = simple average of 4 quarters (MBbl/d / MMcf/d) | FCF/Capex = annual sum ($MM)</t>
  </si>
  <si>
    <t>2023 Avg Oil
(MBbl/d)</t>
  </si>
  <si>
    <t>2023 Avg Gas
(MMcf/d)</t>
  </si>
  <si>
    <t>2024 Avg Oil
(MBbl/d)</t>
  </si>
  <si>
    <t>2024 Avg Gas
(MMcf/d)</t>
  </si>
  <si>
    <t>YoY Oil
Growth %</t>
  </si>
  <si>
    <t>YoY Gas
Growth %</t>
  </si>
  <si>
    <t>2023 Capex
($MM)</t>
  </si>
  <si>
    <t>2023 FCF
($MM)</t>
  </si>
  <si>
    <t>2024 Capex
($MM)</t>
  </si>
  <si>
    <t>2024 FCF
($MM)</t>
  </si>
  <si>
    <t>Capex Eff 2023
(BOE/$MM Capex)</t>
  </si>
  <si>
    <t>Capex Eff 2024
(BOE/$MM Capex)</t>
  </si>
  <si>
    <t>FCF Growth
2023→2024 %</t>
  </si>
  <si>
    <t>FCF Margin
2024 %</t>
  </si>
  <si>
    <t>DATA SOURCES &amp; METHODOLOGY NOTES</t>
  </si>
  <si>
    <t>company</t>
  </si>
  <si>
    <t>data_type</t>
  </si>
  <si>
    <t>source</t>
  </si>
  <si>
    <t>sec_url_base</t>
  </si>
  <si>
    <t>notes</t>
  </si>
  <si>
    <t>All U.S. companies</t>
  </si>
  <si>
    <t>Production + Financials</t>
  </si>
  <si>
    <t>SEC EDGAR 8-K / Exhibit 99.1</t>
  </si>
  <si>
    <t>https://www.sec.gov/cgi-bin/browse-edgar</t>
  </si>
  <si>
    <t>Quarterly earnings press releases filed as 8-K</t>
  </si>
  <si>
    <t>Production</t>
  </si>
  <si>
    <t>SEC EDGAR</t>
  </si>
  <si>
    <t>https://www.sec.gov/cgi-bin/browse-edgar?action=getcompany&amp;CIK=AR</t>
  </si>
  <si>
    <t>Gas reported as MMcfe/d; oil extracted from liquids breakout</t>
  </si>
  <si>
    <t>SEC EDGAR / IR website</t>
  </si>
  <si>
    <t>https://ir.bkv.com</t>
  </si>
  <si>
    <t>IPO'd Sep 2024; 2023 data from private filings. Gas ~79% of MMcfe/d</t>
  </si>
  <si>
    <t>SEDAR+ / CNR IR</t>
  </si>
  <si>
    <t>https://www.cnrl.com/investors</t>
  </si>
  <si>
    <t>Reporting in CAD$; production in bbl/d BOE</t>
  </si>
  <si>
    <t>SEC EDGAR / SEDAR+</t>
  </si>
  <si>
    <t>https://www.sec.gov/cgi-bin/browse-edgar?action=getcompany&amp;CIK=CVE</t>
  </si>
  <si>
    <t>Upstream only; excludes downstream/refining</t>
  </si>
  <si>
    <t>https://www.sec.gov/cgi-bin/browse-edgar?action=getcompany&amp;CIK=CVX</t>
  </si>
  <si>
    <t>Worldwide production; liquids + gas</t>
  </si>
  <si>
    <t>https://www.sec.gov/cgi-bin/browse-edgar?action=getcompany&amp;CIK=CHRD</t>
  </si>
  <si>
    <t>Formed from Oasis+Whiting merger 2022</t>
  </si>
  <si>
    <t>https://www.sec.gov/cgi-bin/browse-edgar?action=getcompany&amp;CIK=COP</t>
  </si>
  <si>
    <t>Total company; includes international</t>
  </si>
  <si>
    <t>https://www.sec.gov/cgi-bin/browse-edgar?action=getcompany&amp;CIK=CTRA</t>
  </si>
  <si>
    <t>Permian oil + Marcellus/Anadarko gas</t>
  </si>
  <si>
    <t>https://www.sec.gov/cgi-bin/browse-edgar?action=getcompany&amp;CIK=DVN</t>
  </si>
  <si>
    <t>Delaware Basin dominant; also Anadarko, Eagle Ford</t>
  </si>
  <si>
    <t>https://www.sec.gov/cgi-bin/browse-edgar?action=getcompany&amp;CIK=FANG</t>
  </si>
  <si>
    <t>Permian only; acquired Endeavor 2024</t>
  </si>
  <si>
    <t>https://www.sec.gov/cgi-bin/browse-edgar?action=getcompany&amp;CIK=EOG</t>
  </si>
  <si>
    <t>Multi-basin; Permian, Eagle Ford, Utica, Dorado</t>
  </si>
  <si>
    <t>https://www.sec.gov/cgi-bin/browse-edgar?action=getcompany&amp;CIK=EQT</t>
  </si>
  <si>
    <t>Largest U.S. nat gas producer; Appalachia</t>
  </si>
  <si>
    <t>https://www.sec.gov/cgi-bin/browse-edgar?action=getcompany&amp;CIK=CHK</t>
  </si>
  <si>
    <t>Formerly Chesapeake Energy; renamed Oct 2024. Acquired SWN Q4-24</t>
  </si>
  <si>
    <t>https://www.sec.gov/cgi-bin/browse-edgar?action=getcompany&amp;CIK=XOM</t>
  </si>
  <si>
    <t>Worldwide; major Permian + Guyana growth</t>
  </si>
  <si>
    <t>SEC EDGAR / IMO IR</t>
  </si>
  <si>
    <t>https://www.sec.gov/cgi-bin/browse-edgar?action=getcompany&amp;CIK=IMO</t>
  </si>
  <si>
    <t>Oil Sands only; minimal gas reported separately</t>
  </si>
  <si>
    <t>https://www.sec.gov/cgi-bin/browse-edgar?action=getcompany&amp;CIK=MTDR</t>
  </si>
  <si>
    <t>Delaware Basin; strong oil + gas growth</t>
  </si>
  <si>
    <t>https://www.sec.gov/cgi-bin/browse-edgar?action=getcompany&amp;CIK=OXY</t>
  </si>
  <si>
    <t>Permian + Rockies + Gulf; acquired CrownRock 2024</t>
  </si>
  <si>
    <t>SEDAR+ / Suncor IR</t>
  </si>
  <si>
    <t>https://www.suncor.com/investors</t>
  </si>
  <si>
    <t>Oil Sands dominant; gas is associated</t>
  </si>
  <si>
    <t>https://www.sec.gov/cgi-bin/browse-edgar?action=getcompany&amp;CIK=PR</t>
  </si>
  <si>
    <t>Delaware Basin; formed from Centennial+Colgate merger 2022</t>
  </si>
  <si>
    <t>All companies</t>
  </si>
  <si>
    <t>Capex / FCF</t>
  </si>
  <si>
    <t>SEC EDGAR 8-K / 10-Q</t>
  </si>
  <si>
    <t>https://www.sec.gov</t>
  </si>
  <si>
    <t>FCF = Operating Cash Flow minus Capex as reported</t>
  </si>
  <si>
    <t>Canadian companies</t>
  </si>
  <si>
    <t>FX conversion</t>
  </si>
  <si>
    <t>Bank of Canada</t>
  </si>
  <si>
    <t>https://www.bankofcanada.ca/rates/exchange/</t>
  </si>
  <si>
    <t>CAD/USD approximate: 2023 avg ~0.74, 2024 avg ~0.73</t>
  </si>
  <si>
    <t>UNIT CONVENTIONS</t>
  </si>
  <si>
    <t>—</t>
  </si>
  <si>
    <t>Industry standard</t>
  </si>
  <si>
    <t>Oil: MBbl/d = thousands barrels/day | Gas: MMcf/d = millions cu ft/day | BOE conversion: 6 Mcf = 1 BOE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</si>
</sst>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;\(#,##0\);\-"/>
    <numFmt numFmtId="166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color rgb="FFFFFFFF"/>
      <name val="Arial"/>
      <charset val="1"/>
    </font>
    <font>
      <sz val="9"/>
      <color rgb="FF0000FF"/>
      <name val="Arial"/>
      <charset val="1"/>
    </font>
    <font>
      <sz val="9"/>
      <name val="Arial"/>
      <charset val="1"/>
    </font>
    <font>
      <i/>
      <sz val="9"/>
      <color rgb="FF595959"/>
      <name val="Arial"/>
      <charset val="1"/>
    </font>
    <font>
      <b/>
      <sz val="9"/>
      <color rgb="FF1F3864"/>
      <name val="Arial"/>
      <charset val="1"/>
    </font>
    <font>
      <b/>
      <sz val="9"/>
      <color rgb="FF375623"/>
      <name val="Arial"/>
      <charset val="1"/>
    </font>
    <font>
      <b/>
      <sz val="9"/>
      <name val="Arial"/>
      <charset val="1"/>
    </font>
    <font>
      <b/>
      <sz val="9"/>
      <color rgb="FF7F4E00"/>
      <name val="Arial"/>
      <charset val="1"/>
    </font>
    <font>
      <b/>
      <sz val="9"/>
      <color rgb="FFC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5F5F5"/>
        <bgColor rgb="FFFFFFFF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7F4E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pane ySplit="2" topLeftCell="A3" activePane="bottomLeft" state="frozen"/>
      <selection pane="bottomLeft" sqref="A1:G1"/>
    </sheetView>
  </sheetViews>
  <sheetFormatPr baseColWidth="10" defaultColWidth="8.6640625" defaultRowHeight="15" x14ac:dyDescent="0.2"/>
  <cols>
    <col min="1" max="1" width="12" customWidth="1"/>
    <col min="2" max="2" width="30" customWidth="1"/>
    <col min="3" max="3" width="10" customWidth="1"/>
    <col min="4" max="4" width="12" customWidth="1"/>
    <col min="5" max="5" width="35" customWidth="1"/>
    <col min="6" max="7" width="20" customWidth="1"/>
  </cols>
  <sheetData>
    <row r="1" spans="1:7" ht="30" customHeight="1" x14ac:dyDescent="0.2">
      <c r="A1" s="3" t="s">
        <v>0</v>
      </c>
      <c r="B1" s="3"/>
      <c r="C1" s="3"/>
      <c r="D1" s="3"/>
      <c r="E1" s="3"/>
      <c r="F1" s="3"/>
      <c r="G1" s="3"/>
    </row>
    <row r="2" spans="1:7" ht="34.5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">
      <c r="A3" s="5">
        <v>1</v>
      </c>
      <c r="B3" s="6" t="s">
        <v>8</v>
      </c>
      <c r="C3" s="7" t="s">
        <v>9</v>
      </c>
      <c r="D3" s="7" t="s">
        <v>10</v>
      </c>
      <c r="E3" s="6" t="s">
        <v>11</v>
      </c>
      <c r="F3" s="7" t="s">
        <v>12</v>
      </c>
      <c r="G3" s="7" t="s">
        <v>13</v>
      </c>
    </row>
    <row r="4" spans="1:7" x14ac:dyDescent="0.2">
      <c r="A4" s="8">
        <v>2</v>
      </c>
      <c r="B4" s="9" t="s">
        <v>14</v>
      </c>
      <c r="C4" s="10" t="s">
        <v>15</v>
      </c>
      <c r="D4" s="10" t="s">
        <v>10</v>
      </c>
      <c r="E4" s="9" t="s">
        <v>16</v>
      </c>
      <c r="F4" s="10" t="s">
        <v>12</v>
      </c>
      <c r="G4" s="10" t="s">
        <v>13</v>
      </c>
    </row>
    <row r="5" spans="1:7" x14ac:dyDescent="0.2">
      <c r="A5" s="5">
        <v>3</v>
      </c>
      <c r="B5" s="6" t="s">
        <v>17</v>
      </c>
      <c r="C5" s="7" t="s">
        <v>18</v>
      </c>
      <c r="D5" s="7" t="s">
        <v>19</v>
      </c>
      <c r="E5" s="6" t="s">
        <v>20</v>
      </c>
      <c r="F5" s="7" t="s">
        <v>21</v>
      </c>
      <c r="G5" s="7" t="s">
        <v>13</v>
      </c>
    </row>
    <row r="6" spans="1:7" x14ac:dyDescent="0.2">
      <c r="A6" s="8">
        <v>4</v>
      </c>
      <c r="B6" s="9" t="s">
        <v>22</v>
      </c>
      <c r="C6" s="10" t="s">
        <v>23</v>
      </c>
      <c r="D6" s="10" t="s">
        <v>19</v>
      </c>
      <c r="E6" s="9" t="s">
        <v>24</v>
      </c>
      <c r="F6" s="10" t="s">
        <v>21</v>
      </c>
      <c r="G6" s="10" t="s">
        <v>13</v>
      </c>
    </row>
    <row r="7" spans="1:7" x14ac:dyDescent="0.2">
      <c r="A7" s="5">
        <v>5</v>
      </c>
      <c r="B7" s="6" t="s">
        <v>25</v>
      </c>
      <c r="C7" s="7" t="s">
        <v>26</v>
      </c>
      <c r="D7" s="7" t="s">
        <v>10</v>
      </c>
      <c r="E7" s="6" t="s">
        <v>27</v>
      </c>
      <c r="F7" s="7" t="s">
        <v>28</v>
      </c>
      <c r="G7" s="7" t="s">
        <v>13</v>
      </c>
    </row>
    <row r="8" spans="1:7" x14ac:dyDescent="0.2">
      <c r="A8" s="8">
        <v>6</v>
      </c>
      <c r="B8" s="9" t="s">
        <v>29</v>
      </c>
      <c r="C8" s="10" t="s">
        <v>30</v>
      </c>
      <c r="D8" s="10" t="s">
        <v>10</v>
      </c>
      <c r="E8" s="9" t="s">
        <v>31</v>
      </c>
      <c r="F8" s="10" t="s">
        <v>21</v>
      </c>
      <c r="G8" s="10" t="s">
        <v>13</v>
      </c>
    </row>
    <row r="9" spans="1:7" x14ac:dyDescent="0.2">
      <c r="A9" s="5">
        <v>7</v>
      </c>
      <c r="B9" s="6" t="s">
        <v>32</v>
      </c>
      <c r="C9" s="7" t="s">
        <v>33</v>
      </c>
      <c r="D9" s="7" t="s">
        <v>10</v>
      </c>
      <c r="E9" s="6" t="s">
        <v>34</v>
      </c>
      <c r="F9" s="7" t="s">
        <v>28</v>
      </c>
      <c r="G9" s="7" t="s">
        <v>13</v>
      </c>
    </row>
    <row r="10" spans="1:7" x14ac:dyDescent="0.2">
      <c r="A10" s="8">
        <v>8</v>
      </c>
      <c r="B10" s="9" t="s">
        <v>35</v>
      </c>
      <c r="C10" s="10" t="s">
        <v>36</v>
      </c>
      <c r="D10" s="10" t="s">
        <v>10</v>
      </c>
      <c r="E10" s="9" t="s">
        <v>37</v>
      </c>
      <c r="F10" s="10" t="s">
        <v>28</v>
      </c>
      <c r="G10" s="10" t="s">
        <v>13</v>
      </c>
    </row>
    <row r="11" spans="1:7" x14ac:dyDescent="0.2">
      <c r="A11" s="5">
        <v>9</v>
      </c>
      <c r="B11" s="6" t="s">
        <v>38</v>
      </c>
      <c r="C11" s="7" t="s">
        <v>39</v>
      </c>
      <c r="D11" s="7" t="s">
        <v>10</v>
      </c>
      <c r="E11" s="6" t="s">
        <v>40</v>
      </c>
      <c r="F11" s="7" t="s">
        <v>21</v>
      </c>
      <c r="G11" s="7" t="s">
        <v>13</v>
      </c>
    </row>
    <row r="12" spans="1:7" x14ac:dyDescent="0.2">
      <c r="A12" s="8">
        <v>10</v>
      </c>
      <c r="B12" s="9" t="s">
        <v>41</v>
      </c>
      <c r="C12" s="10" t="s">
        <v>42</v>
      </c>
      <c r="D12" s="10" t="s">
        <v>10</v>
      </c>
      <c r="E12" s="9" t="s">
        <v>43</v>
      </c>
      <c r="F12" s="10" t="s">
        <v>21</v>
      </c>
      <c r="G12" s="10" t="s">
        <v>13</v>
      </c>
    </row>
    <row r="13" spans="1:7" x14ac:dyDescent="0.2">
      <c r="A13" s="5">
        <v>11</v>
      </c>
      <c r="B13" s="6" t="s">
        <v>44</v>
      </c>
      <c r="C13" s="7" t="s">
        <v>45</v>
      </c>
      <c r="D13" s="7" t="s">
        <v>10</v>
      </c>
      <c r="E13" s="6" t="s">
        <v>46</v>
      </c>
      <c r="F13" s="7" t="s">
        <v>21</v>
      </c>
      <c r="G13" s="7" t="s">
        <v>13</v>
      </c>
    </row>
    <row r="14" spans="1:7" x14ac:dyDescent="0.2">
      <c r="A14" s="8">
        <v>12</v>
      </c>
      <c r="B14" s="9" t="s">
        <v>47</v>
      </c>
      <c r="C14" s="10" t="s">
        <v>48</v>
      </c>
      <c r="D14" s="10" t="s">
        <v>10</v>
      </c>
      <c r="E14" s="9" t="s">
        <v>11</v>
      </c>
      <c r="F14" s="10" t="s">
        <v>12</v>
      </c>
      <c r="G14" s="10" t="s">
        <v>13</v>
      </c>
    </row>
    <row r="15" spans="1:7" x14ac:dyDescent="0.2">
      <c r="A15" s="5">
        <v>13</v>
      </c>
      <c r="B15" s="6" t="s">
        <v>49</v>
      </c>
      <c r="C15" s="7" t="s">
        <v>50</v>
      </c>
      <c r="D15" s="7" t="s">
        <v>10</v>
      </c>
      <c r="E15" s="6" t="s">
        <v>51</v>
      </c>
      <c r="F15" s="7" t="s">
        <v>12</v>
      </c>
      <c r="G15" s="7" t="s">
        <v>52</v>
      </c>
    </row>
    <row r="16" spans="1:7" x14ac:dyDescent="0.2">
      <c r="A16" s="8">
        <v>14</v>
      </c>
      <c r="B16" s="9" t="s">
        <v>53</v>
      </c>
      <c r="C16" s="10" t="s">
        <v>54</v>
      </c>
      <c r="D16" s="10" t="s">
        <v>10</v>
      </c>
      <c r="E16" s="9" t="s">
        <v>55</v>
      </c>
      <c r="F16" s="10" t="s">
        <v>28</v>
      </c>
      <c r="G16" s="10" t="s">
        <v>13</v>
      </c>
    </row>
    <row r="17" spans="1:7" x14ac:dyDescent="0.2">
      <c r="A17" s="5">
        <v>15</v>
      </c>
      <c r="B17" s="6" t="s">
        <v>56</v>
      </c>
      <c r="C17" s="7" t="s">
        <v>57</v>
      </c>
      <c r="D17" s="7" t="s">
        <v>19</v>
      </c>
      <c r="E17" s="6" t="s">
        <v>58</v>
      </c>
      <c r="F17" s="7" t="s">
        <v>21</v>
      </c>
      <c r="G17" s="7" t="s">
        <v>13</v>
      </c>
    </row>
    <row r="18" spans="1:7" x14ac:dyDescent="0.2">
      <c r="A18" s="8">
        <v>16</v>
      </c>
      <c r="B18" s="9" t="s">
        <v>59</v>
      </c>
      <c r="C18" s="10" t="s">
        <v>60</v>
      </c>
      <c r="D18" s="10" t="s">
        <v>10</v>
      </c>
      <c r="E18" s="9" t="s">
        <v>61</v>
      </c>
      <c r="F18" s="10" t="s">
        <v>21</v>
      </c>
      <c r="G18" s="10" t="s">
        <v>13</v>
      </c>
    </row>
    <row r="19" spans="1:7" x14ac:dyDescent="0.2">
      <c r="A19" s="5">
        <v>17</v>
      </c>
      <c r="B19" s="6" t="s">
        <v>62</v>
      </c>
      <c r="C19" s="7" t="s">
        <v>63</v>
      </c>
      <c r="D19" s="7" t="s">
        <v>10</v>
      </c>
      <c r="E19" s="6" t="s">
        <v>64</v>
      </c>
      <c r="F19" s="7" t="s">
        <v>21</v>
      </c>
      <c r="G19" s="7" t="s">
        <v>13</v>
      </c>
    </row>
    <row r="20" spans="1:7" x14ac:dyDescent="0.2">
      <c r="A20" s="8">
        <v>18</v>
      </c>
      <c r="B20" s="9" t="s">
        <v>65</v>
      </c>
      <c r="C20" s="10" t="s">
        <v>66</v>
      </c>
      <c r="D20" s="10" t="s">
        <v>19</v>
      </c>
      <c r="E20" s="9" t="s">
        <v>67</v>
      </c>
      <c r="F20" s="10" t="s">
        <v>21</v>
      </c>
      <c r="G20" s="10" t="s">
        <v>13</v>
      </c>
    </row>
    <row r="21" spans="1:7" x14ac:dyDescent="0.2">
      <c r="A21" s="5">
        <v>19</v>
      </c>
      <c r="B21" s="6" t="s">
        <v>68</v>
      </c>
      <c r="C21" s="7" t="s">
        <v>69</v>
      </c>
      <c r="D21" s="7" t="s">
        <v>10</v>
      </c>
      <c r="E21" s="6" t="s">
        <v>61</v>
      </c>
      <c r="F21" s="7" t="s">
        <v>21</v>
      </c>
      <c r="G21" s="7" t="s">
        <v>13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30" customWidth="1"/>
    <col min="3" max="18" width="13" customWidth="1"/>
  </cols>
  <sheetData>
    <row r="1" spans="1:18" ht="18" x14ac:dyDescent="0.2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8" x14ac:dyDescent="0.2">
      <c r="A2" s="1" t="s">
        <v>71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8" ht="39.75" customHeight="1" x14ac:dyDescent="0.2">
      <c r="A3" s="4" t="s">
        <v>1</v>
      </c>
      <c r="B3" s="4" t="s">
        <v>2</v>
      </c>
      <c r="C3" s="11" t="s">
        <v>72</v>
      </c>
      <c r="D3" s="12" t="s">
        <v>73</v>
      </c>
      <c r="E3" s="11" t="s">
        <v>74</v>
      </c>
      <c r="F3" s="12" t="s">
        <v>75</v>
      </c>
      <c r="G3" s="11" t="s">
        <v>76</v>
      </c>
      <c r="H3" s="12" t="s">
        <v>77</v>
      </c>
      <c r="I3" s="11" t="s">
        <v>78</v>
      </c>
      <c r="J3" s="12" t="s">
        <v>79</v>
      </c>
      <c r="K3" s="11" t="s">
        <v>80</v>
      </c>
      <c r="L3" s="12" t="s">
        <v>81</v>
      </c>
      <c r="M3" s="11" t="s">
        <v>82</v>
      </c>
      <c r="N3" s="12" t="s">
        <v>83</v>
      </c>
      <c r="O3" s="11" t="s">
        <v>84</v>
      </c>
      <c r="P3" s="12" t="s">
        <v>85</v>
      </c>
      <c r="Q3" s="11" t="s">
        <v>86</v>
      </c>
      <c r="R3" s="12" t="s">
        <v>87</v>
      </c>
    </row>
    <row r="4" spans="1:18" x14ac:dyDescent="0.2">
      <c r="A4" s="7">
        <v>1</v>
      </c>
      <c r="B4" s="13" t="s">
        <v>8</v>
      </c>
      <c r="C4" s="14">
        <v>8.1999999999999993</v>
      </c>
      <c r="D4" s="14">
        <v>2133</v>
      </c>
      <c r="E4" s="14">
        <v>10.7</v>
      </c>
      <c r="F4" s="14">
        <v>2242</v>
      </c>
      <c r="G4" s="14">
        <v>10.6</v>
      </c>
      <c r="H4" s="14">
        <v>2190</v>
      </c>
      <c r="I4" s="14">
        <v>10.1</v>
      </c>
      <c r="J4" s="14">
        <v>2214</v>
      </c>
      <c r="K4" s="14">
        <v>10.3</v>
      </c>
      <c r="L4" s="14">
        <v>2232</v>
      </c>
      <c r="M4" s="14">
        <v>11.1</v>
      </c>
      <c r="N4" s="14">
        <v>2260</v>
      </c>
      <c r="O4" s="14">
        <v>10.8</v>
      </c>
      <c r="P4" s="14">
        <v>2244</v>
      </c>
      <c r="Q4" s="14">
        <v>11</v>
      </c>
      <c r="R4" s="14">
        <v>2280</v>
      </c>
    </row>
    <row r="5" spans="1:18" x14ac:dyDescent="0.2">
      <c r="A5" s="10">
        <v>2</v>
      </c>
      <c r="B5" s="15" t="s">
        <v>14</v>
      </c>
      <c r="C5" s="16"/>
      <c r="D5" s="16">
        <v>700</v>
      </c>
      <c r="E5" s="16"/>
      <c r="F5" s="16">
        <v>760</v>
      </c>
      <c r="G5" s="16"/>
      <c r="H5" s="16">
        <v>845</v>
      </c>
      <c r="I5" s="16"/>
      <c r="J5" s="16">
        <v>838</v>
      </c>
      <c r="K5" s="16"/>
      <c r="L5" s="16">
        <v>830</v>
      </c>
      <c r="M5" s="16"/>
      <c r="N5" s="16">
        <v>794</v>
      </c>
      <c r="O5" s="16"/>
      <c r="P5" s="16">
        <v>763</v>
      </c>
      <c r="Q5" s="16"/>
      <c r="R5" s="16">
        <v>775</v>
      </c>
    </row>
    <row r="6" spans="1:18" x14ac:dyDescent="0.2">
      <c r="A6" s="7">
        <v>3</v>
      </c>
      <c r="B6" s="13" t="s">
        <v>17</v>
      </c>
      <c r="C6" s="14">
        <v>792</v>
      </c>
      <c r="D6" s="14">
        <v>1460</v>
      </c>
      <c r="E6" s="14">
        <v>808</v>
      </c>
      <c r="F6" s="14">
        <v>1490</v>
      </c>
      <c r="G6" s="14">
        <v>862</v>
      </c>
      <c r="H6" s="14">
        <v>1505</v>
      </c>
      <c r="I6" s="14">
        <v>952</v>
      </c>
      <c r="J6" s="14">
        <v>1520</v>
      </c>
      <c r="K6" s="14">
        <v>940</v>
      </c>
      <c r="L6" s="14">
        <v>1470</v>
      </c>
      <c r="M6" s="14">
        <v>958</v>
      </c>
      <c r="N6" s="14">
        <v>1490</v>
      </c>
      <c r="O6" s="14">
        <v>965</v>
      </c>
      <c r="P6" s="14">
        <v>1520</v>
      </c>
      <c r="Q6" s="14">
        <v>980</v>
      </c>
      <c r="R6" s="14">
        <v>1550</v>
      </c>
    </row>
    <row r="7" spans="1:18" x14ac:dyDescent="0.2">
      <c r="A7" s="10">
        <v>4</v>
      </c>
      <c r="B7" s="15" t="s">
        <v>22</v>
      </c>
      <c r="C7" s="16">
        <v>528</v>
      </c>
      <c r="D7" s="16">
        <v>840</v>
      </c>
      <c r="E7" s="16">
        <v>540</v>
      </c>
      <c r="F7" s="16">
        <v>832</v>
      </c>
      <c r="G7" s="16">
        <v>555</v>
      </c>
      <c r="H7" s="16">
        <v>845</v>
      </c>
      <c r="I7" s="16">
        <v>663</v>
      </c>
      <c r="J7" s="16">
        <v>876</v>
      </c>
      <c r="K7" s="16">
        <v>636</v>
      </c>
      <c r="L7" s="16">
        <v>844</v>
      </c>
      <c r="M7" s="16">
        <v>648</v>
      </c>
      <c r="N7" s="16">
        <v>851</v>
      </c>
      <c r="O7" s="16">
        <v>631</v>
      </c>
      <c r="P7" s="16">
        <v>845</v>
      </c>
      <c r="Q7" s="16">
        <v>671</v>
      </c>
      <c r="R7" s="16">
        <v>873</v>
      </c>
    </row>
    <row r="8" spans="1:18" x14ac:dyDescent="0.2">
      <c r="A8" s="7">
        <v>5</v>
      </c>
      <c r="B8" s="13" t="s">
        <v>25</v>
      </c>
      <c r="C8" s="14">
        <v>716</v>
      </c>
      <c r="D8" s="14">
        <v>4308</v>
      </c>
      <c r="E8" s="14">
        <v>730</v>
      </c>
      <c r="F8" s="14">
        <v>4242</v>
      </c>
      <c r="G8" s="14">
        <v>728</v>
      </c>
      <c r="H8" s="14">
        <v>4368</v>
      </c>
      <c r="I8" s="14">
        <v>745</v>
      </c>
      <c r="J8" s="14">
        <v>4326</v>
      </c>
      <c r="K8" s="14">
        <v>761</v>
      </c>
      <c r="L8" s="14">
        <v>5052</v>
      </c>
      <c r="M8" s="14">
        <v>762</v>
      </c>
      <c r="N8" s="14">
        <v>5028</v>
      </c>
      <c r="O8" s="14">
        <v>756</v>
      </c>
      <c r="P8" s="14">
        <v>5022</v>
      </c>
      <c r="Q8" s="14">
        <v>758</v>
      </c>
      <c r="R8" s="14">
        <v>5004</v>
      </c>
    </row>
    <row r="9" spans="1:18" x14ac:dyDescent="0.2">
      <c r="A9" s="10">
        <v>6</v>
      </c>
      <c r="B9" s="15" t="s">
        <v>29</v>
      </c>
      <c r="C9" s="16">
        <v>174</v>
      </c>
      <c r="D9" s="16">
        <v>305</v>
      </c>
      <c r="E9" s="16">
        <v>175</v>
      </c>
      <c r="F9" s="16">
        <v>310</v>
      </c>
      <c r="G9" s="16">
        <v>176</v>
      </c>
      <c r="H9" s="16">
        <v>315</v>
      </c>
      <c r="I9" s="16">
        <v>177</v>
      </c>
      <c r="J9" s="16">
        <v>316</v>
      </c>
      <c r="K9" s="16">
        <v>178</v>
      </c>
      <c r="L9" s="16">
        <v>320</v>
      </c>
      <c r="M9" s="16">
        <v>180</v>
      </c>
      <c r="N9" s="16">
        <v>325</v>
      </c>
      <c r="O9" s="16">
        <v>182</v>
      </c>
      <c r="P9" s="16">
        <v>330</v>
      </c>
      <c r="Q9" s="16">
        <v>185</v>
      </c>
      <c r="R9" s="16">
        <v>335</v>
      </c>
    </row>
    <row r="10" spans="1:18" x14ac:dyDescent="0.2">
      <c r="A10" s="7">
        <v>7</v>
      </c>
      <c r="B10" s="13" t="s">
        <v>32</v>
      </c>
      <c r="C10" s="14">
        <v>605</v>
      </c>
      <c r="D10" s="14">
        <v>1453</v>
      </c>
      <c r="E10" s="14">
        <v>605</v>
      </c>
      <c r="F10" s="14">
        <v>1453</v>
      </c>
      <c r="G10" s="14">
        <v>600</v>
      </c>
      <c r="H10" s="14">
        <v>1440</v>
      </c>
      <c r="I10" s="14">
        <v>610</v>
      </c>
      <c r="J10" s="14">
        <v>1450</v>
      </c>
      <c r="K10" s="14">
        <v>625</v>
      </c>
      <c r="L10" s="14">
        <v>1470</v>
      </c>
      <c r="M10" s="14">
        <v>622</v>
      </c>
      <c r="N10" s="14">
        <v>1462</v>
      </c>
      <c r="O10" s="14">
        <v>610</v>
      </c>
      <c r="P10" s="14">
        <v>1448</v>
      </c>
      <c r="Q10" s="14">
        <v>660</v>
      </c>
      <c r="R10" s="14">
        <v>1524</v>
      </c>
    </row>
    <row r="11" spans="1:18" x14ac:dyDescent="0.2">
      <c r="A11" s="10">
        <v>8</v>
      </c>
      <c r="B11" s="15" t="s">
        <v>35</v>
      </c>
      <c r="C11" s="16">
        <v>95</v>
      </c>
      <c r="D11" s="16">
        <v>2160</v>
      </c>
      <c r="E11" s="16">
        <v>97</v>
      </c>
      <c r="F11" s="16">
        <v>2100</v>
      </c>
      <c r="G11" s="16">
        <v>100</v>
      </c>
      <c r="H11" s="16">
        <v>2080</v>
      </c>
      <c r="I11" s="16">
        <v>102</v>
      </c>
      <c r="J11" s="16">
        <v>2020</v>
      </c>
      <c r="K11" s="16">
        <v>103</v>
      </c>
      <c r="L11" s="16">
        <v>2050</v>
      </c>
      <c r="M11" s="16">
        <v>104</v>
      </c>
      <c r="N11" s="16">
        <v>2010</v>
      </c>
      <c r="O11" s="16">
        <v>106</v>
      </c>
      <c r="P11" s="16">
        <v>2020</v>
      </c>
      <c r="Q11" s="16">
        <v>109</v>
      </c>
      <c r="R11" s="16">
        <v>2030</v>
      </c>
    </row>
    <row r="12" spans="1:18" x14ac:dyDescent="0.2">
      <c r="A12" s="7">
        <v>9</v>
      </c>
      <c r="B12" s="13" t="s">
        <v>38</v>
      </c>
      <c r="C12" s="14">
        <v>317</v>
      </c>
      <c r="D12" s="14">
        <v>993</v>
      </c>
      <c r="E12" s="14">
        <v>309</v>
      </c>
      <c r="F12" s="14">
        <v>985</v>
      </c>
      <c r="G12" s="14">
        <v>318</v>
      </c>
      <c r="H12" s="14">
        <v>987</v>
      </c>
      <c r="I12" s="14">
        <v>323</v>
      </c>
      <c r="J12" s="14">
        <v>993</v>
      </c>
      <c r="K12" s="14">
        <v>335</v>
      </c>
      <c r="L12" s="14">
        <v>1020</v>
      </c>
      <c r="M12" s="14">
        <v>335</v>
      </c>
      <c r="N12" s="14">
        <v>1005</v>
      </c>
      <c r="O12" s="14">
        <v>332</v>
      </c>
      <c r="P12" s="14">
        <v>996</v>
      </c>
      <c r="Q12" s="14">
        <v>324</v>
      </c>
      <c r="R12" s="14">
        <v>984</v>
      </c>
    </row>
    <row r="13" spans="1:18" x14ac:dyDescent="0.2">
      <c r="A13" s="10">
        <v>10</v>
      </c>
      <c r="B13" s="15" t="s">
        <v>41</v>
      </c>
      <c r="C13" s="16">
        <v>248</v>
      </c>
      <c r="D13" s="16">
        <v>820</v>
      </c>
      <c r="E13" s="16">
        <v>252</v>
      </c>
      <c r="F13" s="16">
        <v>857</v>
      </c>
      <c r="G13" s="16">
        <v>267</v>
      </c>
      <c r="H13" s="16">
        <v>895</v>
      </c>
      <c r="I13" s="16">
        <v>263</v>
      </c>
      <c r="J13" s="16">
        <v>870</v>
      </c>
      <c r="K13" s="16">
        <v>278</v>
      </c>
      <c r="L13" s="16">
        <v>915</v>
      </c>
      <c r="M13" s="16">
        <v>284</v>
      </c>
      <c r="N13" s="16">
        <v>960</v>
      </c>
      <c r="O13" s="16">
        <v>301</v>
      </c>
      <c r="P13" s="16">
        <v>1020</v>
      </c>
      <c r="Q13" s="16">
        <v>320</v>
      </c>
      <c r="R13" s="16">
        <v>1085</v>
      </c>
    </row>
    <row r="14" spans="1:18" x14ac:dyDescent="0.2">
      <c r="A14" s="7">
        <v>11</v>
      </c>
      <c r="B14" s="13" t="s">
        <v>44</v>
      </c>
      <c r="C14" s="14">
        <v>472</v>
      </c>
      <c r="D14" s="14">
        <v>1371</v>
      </c>
      <c r="E14" s="14">
        <v>479</v>
      </c>
      <c r="F14" s="14">
        <v>1410</v>
      </c>
      <c r="G14" s="14">
        <v>475</v>
      </c>
      <c r="H14" s="14">
        <v>1400</v>
      </c>
      <c r="I14" s="14">
        <v>495</v>
      </c>
      <c r="J14" s="14">
        <v>1430</v>
      </c>
      <c r="K14" s="14">
        <v>498</v>
      </c>
      <c r="L14" s="14">
        <v>1440</v>
      </c>
      <c r="M14" s="14">
        <v>508</v>
      </c>
      <c r="N14" s="14">
        <v>1460</v>
      </c>
      <c r="O14" s="14">
        <v>512</v>
      </c>
      <c r="P14" s="14">
        <v>1475</v>
      </c>
      <c r="Q14" s="14">
        <v>515</v>
      </c>
      <c r="R14" s="14">
        <v>1490</v>
      </c>
    </row>
    <row r="15" spans="1:18" x14ac:dyDescent="0.2">
      <c r="A15" s="10">
        <v>12</v>
      </c>
      <c r="B15" s="15" t="s">
        <v>47</v>
      </c>
      <c r="C15" s="16"/>
      <c r="D15" s="16">
        <v>5220</v>
      </c>
      <c r="E15" s="16"/>
      <c r="F15" s="16">
        <v>5280</v>
      </c>
      <c r="G15" s="16"/>
      <c r="H15" s="16">
        <v>5250</v>
      </c>
      <c r="I15" s="16"/>
      <c r="J15" s="16">
        <v>5400</v>
      </c>
      <c r="K15" s="16"/>
      <c r="L15" s="16">
        <v>5820</v>
      </c>
      <c r="M15" s="16"/>
      <c r="N15" s="16">
        <v>5760</v>
      </c>
      <c r="O15" s="16"/>
      <c r="P15" s="16">
        <v>5730</v>
      </c>
      <c r="Q15" s="16"/>
      <c r="R15" s="16">
        <v>5760</v>
      </c>
    </row>
    <row r="16" spans="1:18" x14ac:dyDescent="0.2">
      <c r="A16" s="7">
        <v>13</v>
      </c>
      <c r="B16" s="13" t="s">
        <v>49</v>
      </c>
      <c r="C16" s="14">
        <v>15</v>
      </c>
      <c r="D16" s="14">
        <v>3264</v>
      </c>
      <c r="E16" s="14">
        <v>14</v>
      </c>
      <c r="F16" s="14">
        <v>3507</v>
      </c>
      <c r="G16" s="14">
        <v>12</v>
      </c>
      <c r="H16" s="14">
        <v>3355</v>
      </c>
      <c r="I16" s="14">
        <v>11</v>
      </c>
      <c r="J16" s="14">
        <v>3220</v>
      </c>
      <c r="K16" s="14">
        <v>12</v>
      </c>
      <c r="L16" s="14">
        <v>3200</v>
      </c>
      <c r="M16" s="14">
        <v>12</v>
      </c>
      <c r="N16" s="14">
        <v>2745</v>
      </c>
      <c r="O16" s="14">
        <v>13</v>
      </c>
      <c r="P16" s="14">
        <v>2900</v>
      </c>
      <c r="Q16" s="14">
        <v>16</v>
      </c>
      <c r="R16" s="14">
        <v>5826</v>
      </c>
    </row>
    <row r="17" spans="1:18" x14ac:dyDescent="0.2">
      <c r="A17" s="10">
        <v>14</v>
      </c>
      <c r="B17" s="15" t="s">
        <v>53</v>
      </c>
      <c r="C17" s="16">
        <v>1524</v>
      </c>
      <c r="D17" s="16">
        <v>4260</v>
      </c>
      <c r="E17" s="16">
        <v>1494</v>
      </c>
      <c r="F17" s="16">
        <v>4080</v>
      </c>
      <c r="G17" s="16">
        <v>1504</v>
      </c>
      <c r="H17" s="16">
        <v>4116</v>
      </c>
      <c r="I17" s="16">
        <v>1514</v>
      </c>
      <c r="J17" s="16">
        <v>4176</v>
      </c>
      <c r="K17" s="16">
        <v>1563</v>
      </c>
      <c r="L17" s="16">
        <v>5148</v>
      </c>
      <c r="M17" s="16">
        <v>1596</v>
      </c>
      <c r="N17" s="16">
        <v>5196</v>
      </c>
      <c r="O17" s="16">
        <v>1599</v>
      </c>
      <c r="P17" s="16">
        <v>5208</v>
      </c>
      <c r="Q17" s="16">
        <v>1626</v>
      </c>
      <c r="R17" s="16">
        <v>5220</v>
      </c>
    </row>
    <row r="18" spans="1:18" x14ac:dyDescent="0.2">
      <c r="A18" s="7">
        <v>15</v>
      </c>
      <c r="B18" s="13" t="s">
        <v>56</v>
      </c>
      <c r="C18" s="14">
        <v>350</v>
      </c>
      <c r="D18" s="14"/>
      <c r="E18" s="14">
        <v>355</v>
      </c>
      <c r="F18" s="14"/>
      <c r="G18" s="14">
        <v>360</v>
      </c>
      <c r="H18" s="14"/>
      <c r="I18" s="14">
        <v>380</v>
      </c>
      <c r="J18" s="14"/>
      <c r="K18" s="14">
        <v>392</v>
      </c>
      <c r="L18" s="14"/>
      <c r="M18" s="14">
        <v>385</v>
      </c>
      <c r="N18" s="14"/>
      <c r="O18" s="14">
        <v>398</v>
      </c>
      <c r="P18" s="14"/>
      <c r="Q18" s="14">
        <v>408</v>
      </c>
      <c r="R18" s="14"/>
    </row>
    <row r="19" spans="1:18" x14ac:dyDescent="0.2">
      <c r="A19" s="10">
        <v>16</v>
      </c>
      <c r="B19" s="15" t="s">
        <v>59</v>
      </c>
      <c r="C19" s="16">
        <v>52</v>
      </c>
      <c r="D19" s="16">
        <v>266</v>
      </c>
      <c r="E19" s="16">
        <v>76</v>
      </c>
      <c r="F19" s="16">
        <v>326</v>
      </c>
      <c r="G19" s="16">
        <v>78</v>
      </c>
      <c r="H19" s="16">
        <v>345</v>
      </c>
      <c r="I19" s="16">
        <v>80</v>
      </c>
      <c r="J19" s="16">
        <v>352</v>
      </c>
      <c r="K19" s="16">
        <v>83</v>
      </c>
      <c r="L19" s="16">
        <v>363</v>
      </c>
      <c r="M19" s="16">
        <v>88</v>
      </c>
      <c r="N19" s="16">
        <v>378</v>
      </c>
      <c r="O19" s="16">
        <v>92</v>
      </c>
      <c r="P19" s="16">
        <v>392</v>
      </c>
      <c r="Q19" s="16">
        <v>96</v>
      </c>
      <c r="R19" s="16">
        <v>405</v>
      </c>
    </row>
    <row r="20" spans="1:18" x14ac:dyDescent="0.2">
      <c r="A20" s="7">
        <v>17</v>
      </c>
      <c r="B20" s="13" t="s">
        <v>62</v>
      </c>
      <c r="C20" s="14">
        <v>484</v>
      </c>
      <c r="D20" s="14">
        <v>2298</v>
      </c>
      <c r="E20" s="14">
        <v>479</v>
      </c>
      <c r="F20" s="14">
        <v>2262</v>
      </c>
      <c r="G20" s="14">
        <v>489</v>
      </c>
      <c r="H20" s="14">
        <v>2298</v>
      </c>
      <c r="I20" s="14">
        <v>496</v>
      </c>
      <c r="J20" s="14">
        <v>2304</v>
      </c>
      <c r="K20" s="14">
        <v>531</v>
      </c>
      <c r="L20" s="14">
        <v>2412</v>
      </c>
      <c r="M20" s="14">
        <v>544</v>
      </c>
      <c r="N20" s="14">
        <v>2478</v>
      </c>
      <c r="O20" s="14">
        <v>564</v>
      </c>
      <c r="P20" s="14">
        <v>2556</v>
      </c>
      <c r="Q20" s="14">
        <v>575</v>
      </c>
      <c r="R20" s="14">
        <v>2586</v>
      </c>
    </row>
    <row r="21" spans="1:18" x14ac:dyDescent="0.2">
      <c r="A21" s="10">
        <v>18</v>
      </c>
      <c r="B21" s="15" t="s">
        <v>65</v>
      </c>
      <c r="C21" s="16">
        <v>626</v>
      </c>
      <c r="D21" s="16">
        <v>405</v>
      </c>
      <c r="E21" s="16">
        <v>656</v>
      </c>
      <c r="F21" s="16">
        <v>430</v>
      </c>
      <c r="G21" s="16">
        <v>683</v>
      </c>
      <c r="H21" s="16">
        <v>450</v>
      </c>
      <c r="I21" s="16">
        <v>725</v>
      </c>
      <c r="J21" s="16">
        <v>458</v>
      </c>
      <c r="K21" s="16">
        <v>736</v>
      </c>
      <c r="L21" s="16">
        <v>430</v>
      </c>
      <c r="M21" s="16">
        <v>754</v>
      </c>
      <c r="N21" s="16">
        <v>440</v>
      </c>
      <c r="O21" s="16">
        <v>760</v>
      </c>
      <c r="P21" s="16">
        <v>448</v>
      </c>
      <c r="Q21" s="16">
        <v>768</v>
      </c>
      <c r="R21" s="16">
        <v>452</v>
      </c>
    </row>
    <row r="22" spans="1:18" x14ac:dyDescent="0.2">
      <c r="A22" s="7">
        <v>19</v>
      </c>
      <c r="B22" s="13" t="s">
        <v>68</v>
      </c>
      <c r="C22" s="14">
        <v>102</v>
      </c>
      <c r="D22" s="14">
        <v>310</v>
      </c>
      <c r="E22" s="14">
        <v>110</v>
      </c>
      <c r="F22" s="14">
        <v>330</v>
      </c>
      <c r="G22" s="14">
        <v>130</v>
      </c>
      <c r="H22" s="14">
        <v>387</v>
      </c>
      <c r="I22" s="14">
        <v>148</v>
      </c>
      <c r="J22" s="14">
        <v>443</v>
      </c>
      <c r="K22" s="14">
        <v>153</v>
      </c>
      <c r="L22" s="14">
        <v>455</v>
      </c>
      <c r="M22" s="14">
        <v>170</v>
      </c>
      <c r="N22" s="14">
        <v>502</v>
      </c>
      <c r="O22" s="14">
        <v>178</v>
      </c>
      <c r="P22" s="14">
        <v>525</v>
      </c>
      <c r="Q22" s="14">
        <v>182</v>
      </c>
      <c r="R22" s="14">
        <v>535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30" customWidth="1"/>
    <col min="3" max="18" width="13" customWidth="1"/>
  </cols>
  <sheetData>
    <row r="1" spans="1:18" ht="18" x14ac:dyDescent="0.2">
      <c r="A1" s="2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A2" s="1" t="s">
        <v>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39.75" customHeight="1" x14ac:dyDescent="0.2">
      <c r="A3" s="4" t="s">
        <v>1</v>
      </c>
      <c r="B3" s="4" t="s">
        <v>2</v>
      </c>
      <c r="C3" s="17" t="s">
        <v>90</v>
      </c>
      <c r="D3" s="18" t="s">
        <v>91</v>
      </c>
      <c r="E3" s="17" t="s">
        <v>92</v>
      </c>
      <c r="F3" s="18" t="s">
        <v>93</v>
      </c>
      <c r="G3" s="17" t="s">
        <v>94</v>
      </c>
      <c r="H3" s="18" t="s">
        <v>95</v>
      </c>
      <c r="I3" s="17" t="s">
        <v>96</v>
      </c>
      <c r="J3" s="18" t="s">
        <v>97</v>
      </c>
      <c r="K3" s="17" t="s">
        <v>98</v>
      </c>
      <c r="L3" s="18" t="s">
        <v>99</v>
      </c>
      <c r="M3" s="17" t="s">
        <v>100</v>
      </c>
      <c r="N3" s="18" t="s">
        <v>101</v>
      </c>
      <c r="O3" s="17" t="s">
        <v>102</v>
      </c>
      <c r="P3" s="18" t="s">
        <v>103</v>
      </c>
      <c r="Q3" s="17" t="s">
        <v>104</v>
      </c>
      <c r="R3" s="18" t="s">
        <v>105</v>
      </c>
    </row>
    <row r="4" spans="1:18" x14ac:dyDescent="0.2">
      <c r="A4" s="7">
        <v>1</v>
      </c>
      <c r="B4" s="13" t="s">
        <v>8</v>
      </c>
      <c r="C4" s="19">
        <v>218</v>
      </c>
      <c r="D4" s="19">
        <v>81</v>
      </c>
      <c r="E4" s="19">
        <v>196</v>
      </c>
      <c r="F4" s="19">
        <v>105</v>
      </c>
      <c r="G4" s="19">
        <v>186</v>
      </c>
      <c r="H4" s="19">
        <v>98</v>
      </c>
      <c r="I4" s="19">
        <v>188</v>
      </c>
      <c r="J4" s="19">
        <v>110</v>
      </c>
      <c r="K4" s="19">
        <v>166</v>
      </c>
      <c r="L4" s="19">
        <v>62</v>
      </c>
      <c r="M4" s="19">
        <v>148</v>
      </c>
      <c r="N4" s="19">
        <v>159</v>
      </c>
      <c r="O4" s="19">
        <v>148</v>
      </c>
      <c r="P4" s="19">
        <v>100</v>
      </c>
      <c r="Q4" s="19">
        <v>155</v>
      </c>
      <c r="R4" s="19">
        <v>159</v>
      </c>
    </row>
    <row r="5" spans="1:18" x14ac:dyDescent="0.2">
      <c r="A5" s="10">
        <v>2</v>
      </c>
      <c r="B5" s="15" t="s">
        <v>14</v>
      </c>
      <c r="C5" s="20">
        <v>115</v>
      </c>
      <c r="D5" s="20">
        <v>-11</v>
      </c>
      <c r="E5" s="20">
        <v>120</v>
      </c>
      <c r="F5" s="20">
        <v>-9</v>
      </c>
      <c r="G5" s="20">
        <v>98</v>
      </c>
      <c r="H5" s="20">
        <v>-11</v>
      </c>
      <c r="I5" s="20">
        <v>90</v>
      </c>
      <c r="J5" s="20">
        <v>12</v>
      </c>
      <c r="K5" s="20">
        <v>80</v>
      </c>
      <c r="L5" s="20">
        <v>15</v>
      </c>
      <c r="M5" s="20">
        <v>72</v>
      </c>
      <c r="N5" s="20">
        <v>18</v>
      </c>
      <c r="O5" s="20">
        <v>74</v>
      </c>
      <c r="P5" s="20">
        <v>20</v>
      </c>
      <c r="Q5" s="20">
        <v>75</v>
      </c>
      <c r="R5" s="20">
        <v>22</v>
      </c>
    </row>
    <row r="6" spans="1:18" x14ac:dyDescent="0.2">
      <c r="A6" s="7">
        <v>3</v>
      </c>
      <c r="B6" s="13" t="s">
        <v>17</v>
      </c>
      <c r="C6" s="19">
        <v>1100</v>
      </c>
      <c r="D6" s="19">
        <v>1350</v>
      </c>
      <c r="E6" s="19">
        <v>1200</v>
      </c>
      <c r="F6" s="19">
        <v>1480</v>
      </c>
      <c r="G6" s="19">
        <v>1150</v>
      </c>
      <c r="H6" s="19">
        <v>1520</v>
      </c>
      <c r="I6" s="19">
        <v>1050</v>
      </c>
      <c r="J6" s="19">
        <v>1620</v>
      </c>
      <c r="K6" s="19">
        <v>1080</v>
      </c>
      <c r="L6" s="19">
        <v>1500</v>
      </c>
      <c r="M6" s="19">
        <v>1200</v>
      </c>
      <c r="N6" s="19">
        <v>1600</v>
      </c>
      <c r="O6" s="19">
        <v>1150</v>
      </c>
      <c r="P6" s="19">
        <v>1700</v>
      </c>
      <c r="Q6" s="19">
        <v>1080</v>
      </c>
      <c r="R6" s="19">
        <v>1800</v>
      </c>
    </row>
    <row r="7" spans="1:18" x14ac:dyDescent="0.2">
      <c r="A7" s="10">
        <v>4</v>
      </c>
      <c r="B7" s="15" t="s">
        <v>22</v>
      </c>
      <c r="C7" s="20">
        <v>900</v>
      </c>
      <c r="D7" s="20">
        <v>780</v>
      </c>
      <c r="E7" s="20">
        <v>920</v>
      </c>
      <c r="F7" s="20">
        <v>850</v>
      </c>
      <c r="G7" s="20">
        <v>870</v>
      </c>
      <c r="H7" s="20">
        <v>920</v>
      </c>
      <c r="I7" s="20">
        <v>860</v>
      </c>
      <c r="J7" s="20">
        <v>950</v>
      </c>
      <c r="K7" s="20">
        <v>880</v>
      </c>
      <c r="L7" s="20">
        <v>830</v>
      </c>
      <c r="M7" s="20">
        <v>900</v>
      </c>
      <c r="N7" s="20">
        <v>870</v>
      </c>
      <c r="O7" s="20">
        <v>880</v>
      </c>
      <c r="P7" s="20">
        <v>910</v>
      </c>
      <c r="Q7" s="20">
        <v>860</v>
      </c>
      <c r="R7" s="20">
        <v>920</v>
      </c>
    </row>
    <row r="8" spans="1:18" x14ac:dyDescent="0.2">
      <c r="A8" s="7">
        <v>5</v>
      </c>
      <c r="B8" s="13" t="s">
        <v>25</v>
      </c>
      <c r="C8" s="19">
        <v>3800</v>
      </c>
      <c r="D8" s="19">
        <v>3100</v>
      </c>
      <c r="E8" s="19">
        <v>3900</v>
      </c>
      <c r="F8" s="19">
        <v>3200</v>
      </c>
      <c r="G8" s="19">
        <v>4200</v>
      </c>
      <c r="H8" s="19">
        <v>3500</v>
      </c>
      <c r="I8" s="19">
        <v>4100</v>
      </c>
      <c r="J8" s="19">
        <v>3800</v>
      </c>
      <c r="K8" s="19">
        <v>3600</v>
      </c>
      <c r="L8" s="19">
        <v>2900</v>
      </c>
      <c r="M8" s="19">
        <v>3700</v>
      </c>
      <c r="N8" s="19">
        <v>3100</v>
      </c>
      <c r="O8" s="19">
        <v>4000</v>
      </c>
      <c r="P8" s="19">
        <v>3300</v>
      </c>
      <c r="Q8" s="19">
        <v>3800</v>
      </c>
      <c r="R8" s="19">
        <v>3600</v>
      </c>
    </row>
    <row r="9" spans="1:18" x14ac:dyDescent="0.2">
      <c r="A9" s="10">
        <v>6</v>
      </c>
      <c r="B9" s="15" t="s">
        <v>29</v>
      </c>
      <c r="C9" s="20">
        <v>430</v>
      </c>
      <c r="D9" s="20">
        <v>210</v>
      </c>
      <c r="E9" s="20">
        <v>440</v>
      </c>
      <c r="F9" s="20">
        <v>230</v>
      </c>
      <c r="G9" s="20">
        <v>420</v>
      </c>
      <c r="H9" s="20">
        <v>250</v>
      </c>
      <c r="I9" s="20">
        <v>400</v>
      </c>
      <c r="J9" s="20">
        <v>280</v>
      </c>
      <c r="K9" s="20">
        <v>410</v>
      </c>
      <c r="L9" s="20">
        <v>290</v>
      </c>
      <c r="M9" s="20">
        <v>420</v>
      </c>
      <c r="N9" s="20">
        <v>310</v>
      </c>
      <c r="O9" s="20">
        <v>400</v>
      </c>
      <c r="P9" s="20">
        <v>330</v>
      </c>
      <c r="Q9" s="20">
        <v>390</v>
      </c>
      <c r="R9" s="20">
        <v>350</v>
      </c>
    </row>
    <row r="10" spans="1:18" x14ac:dyDescent="0.2">
      <c r="A10" s="7">
        <v>7</v>
      </c>
      <c r="B10" s="13" t="s">
        <v>32</v>
      </c>
      <c r="C10" s="19">
        <v>2700</v>
      </c>
      <c r="D10" s="19">
        <v>2900</v>
      </c>
      <c r="E10" s="19">
        <v>2500</v>
      </c>
      <c r="F10" s="19">
        <v>3100</v>
      </c>
      <c r="G10" s="19">
        <v>2900</v>
      </c>
      <c r="H10" s="19">
        <v>2800</v>
      </c>
      <c r="I10" s="19">
        <v>2700</v>
      </c>
      <c r="J10" s="19">
        <v>3000</v>
      </c>
      <c r="K10" s="19">
        <v>3800</v>
      </c>
      <c r="L10" s="19">
        <v>2500</v>
      </c>
      <c r="M10" s="19">
        <v>3600</v>
      </c>
      <c r="N10" s="19">
        <v>2700</v>
      </c>
      <c r="O10" s="19">
        <v>3800</v>
      </c>
      <c r="P10" s="19">
        <v>2600</v>
      </c>
      <c r="Q10" s="19">
        <v>3900</v>
      </c>
      <c r="R10" s="19">
        <v>2800</v>
      </c>
    </row>
    <row r="11" spans="1:18" x14ac:dyDescent="0.2">
      <c r="A11" s="10">
        <v>8</v>
      </c>
      <c r="B11" s="15" t="s">
        <v>35</v>
      </c>
      <c r="C11" s="20">
        <v>510</v>
      </c>
      <c r="D11" s="20">
        <v>310</v>
      </c>
      <c r="E11" s="20">
        <v>480</v>
      </c>
      <c r="F11" s="20">
        <v>370</v>
      </c>
      <c r="G11" s="20">
        <v>430</v>
      </c>
      <c r="H11" s="20">
        <v>350</v>
      </c>
      <c r="I11" s="20">
        <v>420</v>
      </c>
      <c r="J11" s="20">
        <v>400</v>
      </c>
      <c r="K11" s="20">
        <v>390</v>
      </c>
      <c r="L11" s="20">
        <v>320</v>
      </c>
      <c r="M11" s="20">
        <v>380</v>
      </c>
      <c r="N11" s="20">
        <v>350</v>
      </c>
      <c r="O11" s="20">
        <v>370</v>
      </c>
      <c r="P11" s="20">
        <v>360</v>
      </c>
      <c r="Q11" s="20">
        <v>380</v>
      </c>
      <c r="R11" s="20">
        <v>400</v>
      </c>
    </row>
    <row r="12" spans="1:18" x14ac:dyDescent="0.2">
      <c r="A12" s="7">
        <v>9</v>
      </c>
      <c r="B12" s="13" t="s">
        <v>38</v>
      </c>
      <c r="C12" s="19">
        <v>900</v>
      </c>
      <c r="D12" s="19">
        <v>720</v>
      </c>
      <c r="E12" s="19">
        <v>830</v>
      </c>
      <c r="F12" s="19">
        <v>780</v>
      </c>
      <c r="G12" s="19">
        <v>850</v>
      </c>
      <c r="H12" s="19">
        <v>810</v>
      </c>
      <c r="I12" s="19">
        <v>820</v>
      </c>
      <c r="J12" s="19">
        <v>850</v>
      </c>
      <c r="K12" s="19">
        <v>880</v>
      </c>
      <c r="L12" s="19">
        <v>730</v>
      </c>
      <c r="M12" s="19">
        <v>850</v>
      </c>
      <c r="N12" s="19">
        <v>760</v>
      </c>
      <c r="O12" s="19">
        <v>820</v>
      </c>
      <c r="P12" s="19">
        <v>780</v>
      </c>
      <c r="Q12" s="19">
        <v>800</v>
      </c>
      <c r="R12" s="19">
        <v>820</v>
      </c>
    </row>
    <row r="13" spans="1:18" x14ac:dyDescent="0.2">
      <c r="A13" s="10">
        <v>10</v>
      </c>
      <c r="B13" s="15" t="s">
        <v>41</v>
      </c>
      <c r="C13" s="20">
        <v>670</v>
      </c>
      <c r="D13" s="20">
        <v>590</v>
      </c>
      <c r="E13" s="20">
        <v>750</v>
      </c>
      <c r="F13" s="20">
        <v>640</v>
      </c>
      <c r="G13" s="20">
        <v>760</v>
      </c>
      <c r="H13" s="20">
        <v>700</v>
      </c>
      <c r="I13" s="20">
        <v>720</v>
      </c>
      <c r="J13" s="20">
        <v>750</v>
      </c>
      <c r="K13" s="20">
        <v>780</v>
      </c>
      <c r="L13" s="20">
        <v>700</v>
      </c>
      <c r="M13" s="20">
        <v>850</v>
      </c>
      <c r="N13" s="20">
        <v>810</v>
      </c>
      <c r="O13" s="20">
        <v>850</v>
      </c>
      <c r="P13" s="20">
        <v>870</v>
      </c>
      <c r="Q13" s="20">
        <v>890</v>
      </c>
      <c r="R13" s="20">
        <v>950</v>
      </c>
    </row>
    <row r="14" spans="1:18" x14ac:dyDescent="0.2">
      <c r="A14" s="7">
        <v>11</v>
      </c>
      <c r="B14" s="13" t="s">
        <v>44</v>
      </c>
      <c r="C14" s="19">
        <v>1500</v>
      </c>
      <c r="D14" s="19">
        <v>1800</v>
      </c>
      <c r="E14" s="19">
        <v>1490</v>
      </c>
      <c r="F14" s="19">
        <v>1700</v>
      </c>
      <c r="G14" s="19">
        <v>1520</v>
      </c>
      <c r="H14" s="19">
        <v>1600</v>
      </c>
      <c r="I14" s="19">
        <v>1480</v>
      </c>
      <c r="J14" s="19">
        <v>1800</v>
      </c>
      <c r="K14" s="19">
        <v>1520</v>
      </c>
      <c r="L14" s="19">
        <v>1750</v>
      </c>
      <c r="M14" s="19">
        <v>1550</v>
      </c>
      <c r="N14" s="19">
        <v>1900</v>
      </c>
      <c r="O14" s="19">
        <v>1530</v>
      </c>
      <c r="P14" s="19">
        <v>1850</v>
      </c>
      <c r="Q14" s="19">
        <v>1510</v>
      </c>
      <c r="R14" s="19">
        <v>1950</v>
      </c>
    </row>
    <row r="15" spans="1:18" x14ac:dyDescent="0.2">
      <c r="A15" s="10">
        <v>12</v>
      </c>
      <c r="B15" s="15" t="s">
        <v>47</v>
      </c>
      <c r="C15" s="20">
        <v>450</v>
      </c>
      <c r="D15" s="20">
        <v>530</v>
      </c>
      <c r="E15" s="20">
        <v>420</v>
      </c>
      <c r="F15" s="20">
        <v>610</v>
      </c>
      <c r="G15" s="20">
        <v>390</v>
      </c>
      <c r="H15" s="20">
        <v>680</v>
      </c>
      <c r="I15" s="20">
        <v>380</v>
      </c>
      <c r="J15" s="20">
        <v>720</v>
      </c>
      <c r="K15" s="20">
        <v>1200</v>
      </c>
      <c r="L15" s="20">
        <v>480</v>
      </c>
      <c r="M15" s="20">
        <v>850</v>
      </c>
      <c r="N15" s="20">
        <v>620</v>
      </c>
      <c r="O15" s="20">
        <v>780</v>
      </c>
      <c r="P15" s="20">
        <v>700</v>
      </c>
      <c r="Q15" s="20">
        <v>760</v>
      </c>
      <c r="R15" s="20">
        <v>780</v>
      </c>
    </row>
    <row r="16" spans="1:18" x14ac:dyDescent="0.2">
      <c r="A16" s="7">
        <v>13</v>
      </c>
      <c r="B16" s="13" t="s">
        <v>49</v>
      </c>
      <c r="C16" s="19">
        <v>630</v>
      </c>
      <c r="D16" s="19">
        <v>360</v>
      </c>
      <c r="E16" s="19">
        <v>615</v>
      </c>
      <c r="F16" s="19">
        <v>415</v>
      </c>
      <c r="G16" s="19">
        <v>520</v>
      </c>
      <c r="H16" s="19">
        <v>530</v>
      </c>
      <c r="I16" s="19">
        <v>490</v>
      </c>
      <c r="J16" s="19">
        <v>500</v>
      </c>
      <c r="K16" s="19">
        <v>440</v>
      </c>
      <c r="L16" s="19">
        <v>320</v>
      </c>
      <c r="M16" s="19">
        <v>530</v>
      </c>
      <c r="N16" s="19">
        <v>510</v>
      </c>
      <c r="O16" s="19">
        <v>620</v>
      </c>
      <c r="P16" s="19">
        <v>580</v>
      </c>
      <c r="Q16" s="19">
        <v>650</v>
      </c>
      <c r="R16" s="19">
        <v>640</v>
      </c>
    </row>
    <row r="17" spans="1:18" x14ac:dyDescent="0.2">
      <c r="A17" s="10">
        <v>14</v>
      </c>
      <c r="B17" s="15" t="s">
        <v>53</v>
      </c>
      <c r="C17" s="20">
        <v>5400</v>
      </c>
      <c r="D17" s="20">
        <v>8200</v>
      </c>
      <c r="E17" s="20">
        <v>5600</v>
      </c>
      <c r="F17" s="20">
        <v>7800</v>
      </c>
      <c r="G17" s="20">
        <v>5800</v>
      </c>
      <c r="H17" s="20">
        <v>6900</v>
      </c>
      <c r="I17" s="20">
        <v>5500</v>
      </c>
      <c r="J17" s="20">
        <v>8100</v>
      </c>
      <c r="K17" s="20">
        <v>5500</v>
      </c>
      <c r="L17" s="20">
        <v>8300</v>
      </c>
      <c r="M17" s="20">
        <v>5800</v>
      </c>
      <c r="N17" s="20">
        <v>8500</v>
      </c>
      <c r="O17" s="20">
        <v>6200</v>
      </c>
      <c r="P17" s="20">
        <v>8100</v>
      </c>
      <c r="Q17" s="20">
        <v>5900</v>
      </c>
      <c r="R17" s="20">
        <v>8900</v>
      </c>
    </row>
    <row r="18" spans="1:18" x14ac:dyDescent="0.2">
      <c r="A18" s="7">
        <v>15</v>
      </c>
      <c r="B18" s="13" t="s">
        <v>56</v>
      </c>
      <c r="C18" s="19">
        <v>350</v>
      </c>
      <c r="D18" s="19">
        <v>470</v>
      </c>
      <c r="E18" s="19">
        <v>390</v>
      </c>
      <c r="F18" s="19">
        <v>500</v>
      </c>
      <c r="G18" s="19">
        <v>360</v>
      </c>
      <c r="H18" s="19">
        <v>530</v>
      </c>
      <c r="I18" s="19">
        <v>340</v>
      </c>
      <c r="J18" s="19">
        <v>580</v>
      </c>
      <c r="K18" s="19">
        <v>380</v>
      </c>
      <c r="L18" s="19">
        <v>560</v>
      </c>
      <c r="M18" s="19">
        <v>400</v>
      </c>
      <c r="N18" s="19">
        <v>590</v>
      </c>
      <c r="O18" s="19">
        <v>370</v>
      </c>
      <c r="P18" s="19">
        <v>610</v>
      </c>
      <c r="Q18" s="19">
        <v>360</v>
      </c>
      <c r="R18" s="19">
        <v>640</v>
      </c>
    </row>
    <row r="19" spans="1:18" x14ac:dyDescent="0.2">
      <c r="A19" s="10">
        <v>16</v>
      </c>
      <c r="B19" s="15" t="s">
        <v>59</v>
      </c>
      <c r="C19" s="20">
        <v>340</v>
      </c>
      <c r="D19" s="20">
        <v>76</v>
      </c>
      <c r="E19" s="20">
        <v>445</v>
      </c>
      <c r="F19" s="20">
        <v>80</v>
      </c>
      <c r="G19" s="20">
        <v>355</v>
      </c>
      <c r="H19" s="20">
        <v>145</v>
      </c>
      <c r="I19" s="20">
        <v>340</v>
      </c>
      <c r="J19" s="20">
        <v>165</v>
      </c>
      <c r="K19" s="20">
        <v>350</v>
      </c>
      <c r="L19" s="20">
        <v>150</v>
      </c>
      <c r="M19" s="20">
        <v>390</v>
      </c>
      <c r="N19" s="20">
        <v>200</v>
      </c>
      <c r="O19" s="20">
        <v>380</v>
      </c>
      <c r="P19" s="20">
        <v>210</v>
      </c>
      <c r="Q19" s="20">
        <v>370</v>
      </c>
      <c r="R19" s="20">
        <v>250</v>
      </c>
    </row>
    <row r="20" spans="1:18" x14ac:dyDescent="0.2">
      <c r="A20" s="7">
        <v>17</v>
      </c>
      <c r="B20" s="13" t="s">
        <v>62</v>
      </c>
      <c r="C20" s="19">
        <v>1500</v>
      </c>
      <c r="D20" s="19">
        <v>1200</v>
      </c>
      <c r="E20" s="19">
        <v>1650</v>
      </c>
      <c r="F20" s="19">
        <v>1100</v>
      </c>
      <c r="G20" s="19">
        <v>1700</v>
      </c>
      <c r="H20" s="19">
        <v>980</v>
      </c>
      <c r="I20" s="19">
        <v>1600</v>
      </c>
      <c r="J20" s="19">
        <v>1050</v>
      </c>
      <c r="K20" s="19">
        <v>1850</v>
      </c>
      <c r="L20" s="19">
        <v>820</v>
      </c>
      <c r="M20" s="19">
        <v>1900</v>
      </c>
      <c r="N20" s="19">
        <v>950</v>
      </c>
      <c r="O20" s="19">
        <v>1950</v>
      </c>
      <c r="P20" s="19">
        <v>880</v>
      </c>
      <c r="Q20" s="19">
        <v>1850</v>
      </c>
      <c r="R20" s="19">
        <v>970</v>
      </c>
    </row>
    <row r="21" spans="1:18" x14ac:dyDescent="0.2">
      <c r="A21" s="10">
        <v>18</v>
      </c>
      <c r="B21" s="15" t="s">
        <v>65</v>
      </c>
      <c r="C21" s="20">
        <v>1100</v>
      </c>
      <c r="D21" s="20">
        <v>1500</v>
      </c>
      <c r="E21" s="20">
        <v>1200</v>
      </c>
      <c r="F21" s="20">
        <v>1700</v>
      </c>
      <c r="G21" s="20">
        <v>1150</v>
      </c>
      <c r="H21" s="20">
        <v>1900</v>
      </c>
      <c r="I21" s="20">
        <v>1050</v>
      </c>
      <c r="J21" s="20">
        <v>2100</v>
      </c>
      <c r="K21" s="20">
        <v>1100</v>
      </c>
      <c r="L21" s="20">
        <v>1650</v>
      </c>
      <c r="M21" s="20">
        <v>1200</v>
      </c>
      <c r="N21" s="20">
        <v>1750</v>
      </c>
      <c r="O21" s="20">
        <v>1150</v>
      </c>
      <c r="P21" s="20">
        <v>1900</v>
      </c>
      <c r="Q21" s="20">
        <v>1100</v>
      </c>
      <c r="R21" s="20">
        <v>2000</v>
      </c>
    </row>
    <row r="22" spans="1:18" x14ac:dyDescent="0.2">
      <c r="A22" s="7">
        <v>19</v>
      </c>
      <c r="B22" s="13" t="s">
        <v>68</v>
      </c>
      <c r="C22" s="19">
        <v>440</v>
      </c>
      <c r="D22" s="19">
        <v>75</v>
      </c>
      <c r="E22" s="19">
        <v>470</v>
      </c>
      <c r="F22" s="19">
        <v>100</v>
      </c>
      <c r="G22" s="19">
        <v>470</v>
      </c>
      <c r="H22" s="19">
        <v>215</v>
      </c>
      <c r="I22" s="19">
        <v>450</v>
      </c>
      <c r="J22" s="19">
        <v>270</v>
      </c>
      <c r="K22" s="19">
        <v>470</v>
      </c>
      <c r="L22" s="19">
        <v>230</v>
      </c>
      <c r="M22" s="19">
        <v>520</v>
      </c>
      <c r="N22" s="19">
        <v>330</v>
      </c>
      <c r="O22" s="19">
        <v>510</v>
      </c>
      <c r="P22" s="19">
        <v>360</v>
      </c>
      <c r="Q22" s="19">
        <v>490</v>
      </c>
      <c r="R22" s="19">
        <v>400</v>
      </c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2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30" customWidth="1"/>
    <col min="3" max="6" width="14" customWidth="1"/>
    <col min="7" max="8" width="12" customWidth="1"/>
    <col min="9" max="12" width="14" customWidth="1"/>
    <col min="13" max="14" width="18" customWidth="1"/>
    <col min="15" max="16" width="14" customWidth="1"/>
  </cols>
  <sheetData>
    <row r="1" spans="1:16" ht="18" x14ac:dyDescent="0.2">
      <c r="A1" s="2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1" t="s">
        <v>107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49.5" customHeight="1" x14ac:dyDescent="0.2">
      <c r="A3" s="4" t="s">
        <v>1</v>
      </c>
      <c r="B3" s="4" t="s">
        <v>2</v>
      </c>
      <c r="C3" s="4" t="s">
        <v>108</v>
      </c>
      <c r="D3" s="4" t="s">
        <v>109</v>
      </c>
      <c r="E3" s="4" t="s">
        <v>110</v>
      </c>
      <c r="F3" s="4" t="s">
        <v>111</v>
      </c>
      <c r="G3" s="4" t="s">
        <v>112</v>
      </c>
      <c r="H3" s="4" t="s">
        <v>113</v>
      </c>
      <c r="I3" s="4" t="s">
        <v>114</v>
      </c>
      <c r="J3" s="4" t="s">
        <v>115</v>
      </c>
      <c r="K3" s="4" t="s">
        <v>116</v>
      </c>
      <c r="L3" s="4" t="s">
        <v>117</v>
      </c>
      <c r="M3" s="4" t="s">
        <v>118</v>
      </c>
      <c r="N3" s="4" t="s">
        <v>119</v>
      </c>
      <c r="O3" s="4" t="s">
        <v>120</v>
      </c>
      <c r="P3" s="4" t="s">
        <v>121</v>
      </c>
    </row>
    <row r="4" spans="1:16" x14ac:dyDescent="0.2">
      <c r="A4" s="7">
        <v>1</v>
      </c>
      <c r="B4" s="21" t="s">
        <v>8</v>
      </c>
      <c r="C4" s="22">
        <f>IFERROR(AVERAGE(production!C4,production!E4,production!G4,production!I4),"N/A")</f>
        <v>9.9</v>
      </c>
      <c r="D4" s="22">
        <f>IFERROR(AVERAGE(production!D4,production!F4,production!H4,production!J4),"N/A")</f>
        <v>2194.75</v>
      </c>
      <c r="E4" s="22">
        <f>IFERROR(AVERAGE(production!K4,production!M4,production!O4,production!Q4),"N/A")</f>
        <v>10.8</v>
      </c>
      <c r="F4" s="22">
        <f>IFERROR(AVERAGE(production!L4,production!N4,production!P4,production!R4),"N/A")</f>
        <v>2254</v>
      </c>
      <c r="G4" s="23">
        <f t="shared" ref="G4:G22" si="0">IFERROR(IF(AND(ISNUMBER(C4),ISNUMBER(E4)),(E4-C4)/C4,"N/A"),"N/A")</f>
        <v>9.0909090909090939E-2</v>
      </c>
      <c r="H4" s="23">
        <f t="shared" ref="H4:H22" si="1">IFERROR(IF(AND(ISNUMBER(D4),ISNUMBER(F4)),(F4-D4)/D4,"N/A"),"N/A")</f>
        <v>2.6996241029730039E-2</v>
      </c>
      <c r="I4" s="24">
        <f>IFERROR(SUM(financials!C4,financials!E4,financials!G4,financials!I4),"N/A")</f>
        <v>788</v>
      </c>
      <c r="J4" s="24">
        <f>IFERROR(SUM(financials!D4,financials!F4,financials!H4,financials!J4),"N/A")</f>
        <v>394</v>
      </c>
      <c r="K4" s="24">
        <f>IFERROR(SUM(financials!K4,financials!M4,financials!O4,financials!Q4),"N/A")</f>
        <v>617</v>
      </c>
      <c r="L4" s="24">
        <f>IFERROR(SUM(financials!L4,financials!N4,financials!P4,financials!R4),"N/A")</f>
        <v>480</v>
      </c>
      <c r="M4" s="22">
        <f t="shared" ref="M4:M22" si="2">IFERROR(IF(AND(ISNUMBER(C4),ISNUMBER(D4),I4&gt;0),((C4+D4/6)*365)/I4,"N/A"),"N/A")</f>
        <v>174.01961717428088</v>
      </c>
      <c r="N4" s="22">
        <f t="shared" ref="N4:N22" si="3">IFERROR(IF(AND(ISNUMBER(E4),ISNUMBER(F4),K4&gt;0),((E4+F4/6)*365)/K4,"N/A"),"N/A")</f>
        <v>228.62290653700703</v>
      </c>
      <c r="O4" s="23">
        <f t="shared" ref="O4:O22" si="4">IFERROR(IF(AND(ISNUMBER(J4),ISNUMBER(L4),J4&lt;&gt;0),(L4-J4)/ABS(J4),"N/A"),"N/A")</f>
        <v>0.21827411167512689</v>
      </c>
      <c r="P4" s="23">
        <f t="shared" ref="P4:P22" si="5">IFERROR(IF(AND(ISNUMBER(L4),ISNUMBER(K4),K4&lt;&gt;0),L4/K4,"N/A"),"N/A")</f>
        <v>0.77795786061588335</v>
      </c>
    </row>
    <row r="5" spans="1:16" x14ac:dyDescent="0.2">
      <c r="A5" s="10">
        <v>2</v>
      </c>
      <c r="B5" s="25" t="s">
        <v>14</v>
      </c>
      <c r="C5" s="26" t="str">
        <f>IFERROR(AVERAGE(production!C5,production!E5,production!G5,production!I5),"N/A")</f>
        <v>N/A</v>
      </c>
      <c r="D5" s="26">
        <f>IFERROR(AVERAGE(production!D5,production!F5,production!H5,production!J5),"N/A")</f>
        <v>785.75</v>
      </c>
      <c r="E5" s="26" t="str">
        <f>IFERROR(AVERAGE(production!K5,production!M5,production!O5,production!Q5),"N/A")</f>
        <v>N/A</v>
      </c>
      <c r="F5" s="26">
        <f>IFERROR(AVERAGE(production!L5,production!N5,production!P5,production!R5),"N/A")</f>
        <v>790.5</v>
      </c>
      <c r="G5" s="27" t="str">
        <f t="shared" si="0"/>
        <v>N/A</v>
      </c>
      <c r="H5" s="27">
        <f t="shared" si="1"/>
        <v>6.0451797645561566E-3</v>
      </c>
      <c r="I5" s="28">
        <f>IFERROR(SUM(financials!C5,financials!E5,financials!G5,financials!I5),"N/A")</f>
        <v>423</v>
      </c>
      <c r="J5" s="28">
        <f>IFERROR(SUM(financials!D5,financials!F5,financials!H5,financials!J5),"N/A")</f>
        <v>-19</v>
      </c>
      <c r="K5" s="28">
        <f>IFERROR(SUM(financials!K5,financials!M5,financials!O5,financials!Q5),"N/A")</f>
        <v>301</v>
      </c>
      <c r="L5" s="28">
        <f>IFERROR(SUM(financials!L5,financials!N5,financials!P5,financials!R5),"N/A")</f>
        <v>75</v>
      </c>
      <c r="M5" s="26" t="str">
        <f t="shared" si="2"/>
        <v>N/A</v>
      </c>
      <c r="N5" s="26" t="str">
        <f t="shared" si="3"/>
        <v>N/A</v>
      </c>
      <c r="O5" s="27">
        <f t="shared" si="4"/>
        <v>4.9473684210526319</v>
      </c>
      <c r="P5" s="27">
        <f t="shared" si="5"/>
        <v>0.24916943521594684</v>
      </c>
    </row>
    <row r="6" spans="1:16" x14ac:dyDescent="0.2">
      <c r="A6" s="7">
        <v>3</v>
      </c>
      <c r="B6" s="21" t="s">
        <v>17</v>
      </c>
      <c r="C6" s="22">
        <f>IFERROR(AVERAGE(production!C6,production!E6,production!G6,production!I6),"N/A")</f>
        <v>853.5</v>
      </c>
      <c r="D6" s="22">
        <f>IFERROR(AVERAGE(production!D6,production!F6,production!H6,production!J6),"N/A")</f>
        <v>1493.75</v>
      </c>
      <c r="E6" s="22">
        <f>IFERROR(AVERAGE(production!K6,production!M6,production!O6,production!Q6),"N/A")</f>
        <v>960.75</v>
      </c>
      <c r="F6" s="22">
        <f>IFERROR(AVERAGE(production!L6,production!N6,production!P6,production!R6),"N/A")</f>
        <v>1507.5</v>
      </c>
      <c r="G6" s="23">
        <f t="shared" si="0"/>
        <v>0.12565905096660809</v>
      </c>
      <c r="H6" s="23">
        <f t="shared" si="1"/>
        <v>9.2050209205020925E-3</v>
      </c>
      <c r="I6" s="24">
        <f>IFERROR(SUM(financials!C6,financials!E6,financials!G6,financials!I6),"N/A")</f>
        <v>4500</v>
      </c>
      <c r="J6" s="24">
        <f>IFERROR(SUM(financials!D6,financials!F6,financials!H6,financials!J6),"N/A")</f>
        <v>5970</v>
      </c>
      <c r="K6" s="24">
        <f>IFERROR(SUM(financials!K6,financials!M6,financials!O6,financials!Q6),"N/A")</f>
        <v>4510</v>
      </c>
      <c r="L6" s="24">
        <f>IFERROR(SUM(financials!L6,financials!N6,financials!P6,financials!R6),"N/A")</f>
        <v>6600</v>
      </c>
      <c r="M6" s="22">
        <f t="shared" si="2"/>
        <v>89.421620370370363</v>
      </c>
      <c r="N6" s="22">
        <f t="shared" si="3"/>
        <v>98.088691796008874</v>
      </c>
      <c r="O6" s="23">
        <f t="shared" si="4"/>
        <v>0.10552763819095477</v>
      </c>
      <c r="P6" s="23">
        <f t="shared" si="5"/>
        <v>1.4634146341463414</v>
      </c>
    </row>
    <row r="7" spans="1:16" x14ac:dyDescent="0.2">
      <c r="A7" s="10">
        <v>4</v>
      </c>
      <c r="B7" s="25" t="s">
        <v>22</v>
      </c>
      <c r="C7" s="26">
        <f>IFERROR(AVERAGE(production!C7,production!E7,production!G7,production!I7),"N/A")</f>
        <v>571.5</v>
      </c>
      <c r="D7" s="26">
        <f>IFERROR(AVERAGE(production!D7,production!F7,production!H7,production!J7),"N/A")</f>
        <v>848.25</v>
      </c>
      <c r="E7" s="26">
        <f>IFERROR(AVERAGE(production!K7,production!M7,production!O7,production!Q7),"N/A")</f>
        <v>646.5</v>
      </c>
      <c r="F7" s="26">
        <f>IFERROR(AVERAGE(production!L7,production!N7,production!P7,production!R7),"N/A")</f>
        <v>853.25</v>
      </c>
      <c r="G7" s="27">
        <f t="shared" si="0"/>
        <v>0.13123359580052493</v>
      </c>
      <c r="H7" s="27">
        <f t="shared" si="1"/>
        <v>5.8944886531093425E-3</v>
      </c>
      <c r="I7" s="28">
        <f>IFERROR(SUM(financials!C7,financials!E7,financials!G7,financials!I7),"N/A")</f>
        <v>3550</v>
      </c>
      <c r="J7" s="28">
        <f>IFERROR(SUM(financials!D7,financials!F7,financials!H7,financials!J7),"N/A")</f>
        <v>3500</v>
      </c>
      <c r="K7" s="28">
        <f>IFERROR(SUM(financials!K7,financials!M7,financials!O7,financials!Q7),"N/A")</f>
        <v>3520</v>
      </c>
      <c r="L7" s="28">
        <f>IFERROR(SUM(financials!L7,financials!N7,financials!P7,financials!R7),"N/A")</f>
        <v>3530</v>
      </c>
      <c r="M7" s="26">
        <f t="shared" si="2"/>
        <v>73.295598591549293</v>
      </c>
      <c r="N7" s="26">
        <f t="shared" si="3"/>
        <v>81.783676609848484</v>
      </c>
      <c r="O7" s="27">
        <f t="shared" si="4"/>
        <v>8.5714285714285719E-3</v>
      </c>
      <c r="P7" s="27">
        <f t="shared" si="5"/>
        <v>1.0028409090909092</v>
      </c>
    </row>
    <row r="8" spans="1:16" x14ac:dyDescent="0.2">
      <c r="A8" s="7">
        <v>5</v>
      </c>
      <c r="B8" s="21" t="s">
        <v>25</v>
      </c>
      <c r="C8" s="22">
        <f>IFERROR(AVERAGE(production!C8,production!E8,production!G8,production!I8),"N/A")</f>
        <v>729.75</v>
      </c>
      <c r="D8" s="22">
        <f>IFERROR(AVERAGE(production!D8,production!F8,production!H8,production!J8),"N/A")</f>
        <v>4311</v>
      </c>
      <c r="E8" s="22">
        <f>IFERROR(AVERAGE(production!K8,production!M8,production!O8,production!Q8),"N/A")</f>
        <v>759.25</v>
      </c>
      <c r="F8" s="22">
        <f>IFERROR(AVERAGE(production!L8,production!N8,production!P8,production!R8),"N/A")</f>
        <v>5026.5</v>
      </c>
      <c r="G8" s="23">
        <f t="shared" si="0"/>
        <v>4.0424803014731073E-2</v>
      </c>
      <c r="H8" s="23">
        <f t="shared" si="1"/>
        <v>0.16597077244258873</v>
      </c>
      <c r="I8" s="24">
        <f>IFERROR(SUM(financials!C8,financials!E8,financials!G8,financials!I8),"N/A")</f>
        <v>16000</v>
      </c>
      <c r="J8" s="24">
        <f>IFERROR(SUM(financials!D8,financials!F8,financials!H8,financials!J8),"N/A")</f>
        <v>13600</v>
      </c>
      <c r="K8" s="24">
        <f>IFERROR(SUM(financials!K8,financials!M8,financials!O8,financials!Q8),"N/A")</f>
        <v>15100</v>
      </c>
      <c r="L8" s="24">
        <f>IFERROR(SUM(financials!L8,financials!N8,financials!P8,financials!R8),"N/A")</f>
        <v>12900</v>
      </c>
      <c r="M8" s="22">
        <f t="shared" si="2"/>
        <v>33.038203125000003</v>
      </c>
      <c r="N8" s="22">
        <f t="shared" si="3"/>
        <v>38.602980132450334</v>
      </c>
      <c r="O8" s="23">
        <f t="shared" si="4"/>
        <v>-5.1470588235294115E-2</v>
      </c>
      <c r="P8" s="23">
        <f t="shared" si="5"/>
        <v>0.85430463576158944</v>
      </c>
    </row>
    <row r="9" spans="1:16" x14ac:dyDescent="0.2">
      <c r="A9" s="10">
        <v>6</v>
      </c>
      <c r="B9" s="25" t="s">
        <v>29</v>
      </c>
      <c r="C9" s="26">
        <f>IFERROR(AVERAGE(production!C9,production!E9,production!G9,production!I9),"N/A")</f>
        <v>175.5</v>
      </c>
      <c r="D9" s="26">
        <f>IFERROR(AVERAGE(production!D9,production!F9,production!H9,production!J9),"N/A")</f>
        <v>311.5</v>
      </c>
      <c r="E9" s="26">
        <f>IFERROR(AVERAGE(production!K9,production!M9,production!O9,production!Q9),"N/A")</f>
        <v>181.25</v>
      </c>
      <c r="F9" s="26">
        <f>IFERROR(AVERAGE(production!L9,production!N9,production!P9,production!R9),"N/A")</f>
        <v>327.5</v>
      </c>
      <c r="G9" s="27">
        <f t="shared" si="0"/>
        <v>3.2763532763532763E-2</v>
      </c>
      <c r="H9" s="27">
        <f t="shared" si="1"/>
        <v>5.1364365971107544E-2</v>
      </c>
      <c r="I9" s="28">
        <f>IFERROR(SUM(financials!C9,financials!E9,financials!G9,financials!I9),"N/A")</f>
        <v>1690</v>
      </c>
      <c r="J9" s="28">
        <f>IFERROR(SUM(financials!D9,financials!F9,financials!H9,financials!J9),"N/A")</f>
        <v>970</v>
      </c>
      <c r="K9" s="28">
        <f>IFERROR(SUM(financials!K9,financials!M9,financials!O9,financials!Q9),"N/A")</f>
        <v>1620</v>
      </c>
      <c r="L9" s="28">
        <f>IFERROR(SUM(financials!L9,financials!N9,financials!P9,financials!R9),"N/A")</f>
        <v>1280</v>
      </c>
      <c r="M9" s="26">
        <f t="shared" si="2"/>
        <v>49.116617357001971</v>
      </c>
      <c r="N9" s="26">
        <f t="shared" si="3"/>
        <v>53.135288065843625</v>
      </c>
      <c r="O9" s="27">
        <f t="shared" si="4"/>
        <v>0.31958762886597936</v>
      </c>
      <c r="P9" s="27">
        <f t="shared" si="5"/>
        <v>0.79012345679012341</v>
      </c>
    </row>
    <row r="10" spans="1:16" x14ac:dyDescent="0.2">
      <c r="A10" s="7">
        <v>7</v>
      </c>
      <c r="B10" s="21" t="s">
        <v>32</v>
      </c>
      <c r="C10" s="22">
        <f>IFERROR(AVERAGE(production!C10,production!E10,production!G10,production!I10),"N/A")</f>
        <v>605</v>
      </c>
      <c r="D10" s="22">
        <f>IFERROR(AVERAGE(production!D10,production!F10,production!H10,production!J10),"N/A")</f>
        <v>1449</v>
      </c>
      <c r="E10" s="22">
        <f>IFERROR(AVERAGE(production!K10,production!M10,production!O10,production!Q10),"N/A")</f>
        <v>629.25</v>
      </c>
      <c r="F10" s="22">
        <f>IFERROR(AVERAGE(production!L10,production!N10,production!P10,production!R10),"N/A")</f>
        <v>1476</v>
      </c>
      <c r="G10" s="23">
        <f t="shared" si="0"/>
        <v>4.0082644628099171E-2</v>
      </c>
      <c r="H10" s="23">
        <f t="shared" si="1"/>
        <v>1.8633540372670808E-2</v>
      </c>
      <c r="I10" s="24">
        <f>IFERROR(SUM(financials!C10,financials!E10,financials!G10,financials!I10),"N/A")</f>
        <v>10800</v>
      </c>
      <c r="J10" s="24">
        <f>IFERROR(SUM(financials!D10,financials!F10,financials!H10,financials!J10),"N/A")</f>
        <v>11800</v>
      </c>
      <c r="K10" s="24">
        <f>IFERROR(SUM(financials!K10,financials!M10,financials!O10,financials!Q10),"N/A")</f>
        <v>15100</v>
      </c>
      <c r="L10" s="24">
        <f>IFERROR(SUM(financials!L10,financials!N10,financials!P10,financials!R10),"N/A")</f>
        <v>10600</v>
      </c>
      <c r="M10" s="22">
        <f t="shared" si="2"/>
        <v>28.608564814814816</v>
      </c>
      <c r="N10" s="22">
        <f t="shared" si="3"/>
        <v>21.156705298013247</v>
      </c>
      <c r="O10" s="23">
        <f t="shared" si="4"/>
        <v>-0.10169491525423729</v>
      </c>
      <c r="P10" s="23">
        <f t="shared" si="5"/>
        <v>0.70198675496688745</v>
      </c>
    </row>
    <row r="11" spans="1:16" x14ac:dyDescent="0.2">
      <c r="A11" s="10">
        <v>8</v>
      </c>
      <c r="B11" s="25" t="s">
        <v>35</v>
      </c>
      <c r="C11" s="26">
        <f>IFERROR(AVERAGE(production!C11,production!E11,production!G11,production!I11),"N/A")</f>
        <v>98.5</v>
      </c>
      <c r="D11" s="26">
        <f>IFERROR(AVERAGE(production!D11,production!F11,production!H11,production!J11),"N/A")</f>
        <v>2090</v>
      </c>
      <c r="E11" s="26">
        <f>IFERROR(AVERAGE(production!K11,production!M11,production!O11,production!Q11),"N/A")</f>
        <v>105.5</v>
      </c>
      <c r="F11" s="26">
        <f>IFERROR(AVERAGE(production!L11,production!N11,production!P11,production!R11),"N/A")</f>
        <v>2027.5</v>
      </c>
      <c r="G11" s="27">
        <f t="shared" si="0"/>
        <v>7.1065989847715741E-2</v>
      </c>
      <c r="H11" s="27">
        <f t="shared" si="1"/>
        <v>-2.9904306220095694E-2</v>
      </c>
      <c r="I11" s="28">
        <f>IFERROR(SUM(financials!C11,financials!E11,financials!G11,financials!I11),"N/A")</f>
        <v>1840</v>
      </c>
      <c r="J11" s="28">
        <f>IFERROR(SUM(financials!D11,financials!F11,financials!H11,financials!J11),"N/A")</f>
        <v>1430</v>
      </c>
      <c r="K11" s="28">
        <f>IFERROR(SUM(financials!K11,financials!M11,financials!O11,financials!Q11),"N/A")</f>
        <v>1520</v>
      </c>
      <c r="L11" s="28">
        <f>IFERROR(SUM(financials!L11,financials!N11,financials!P11,financials!R11),"N/A")</f>
        <v>1430</v>
      </c>
      <c r="M11" s="26">
        <f t="shared" si="2"/>
        <v>88.638134057971016</v>
      </c>
      <c r="N11" s="26">
        <f t="shared" si="3"/>
        <v>106.47834429824562</v>
      </c>
      <c r="O11" s="27">
        <f t="shared" si="4"/>
        <v>0</v>
      </c>
      <c r="P11" s="27">
        <f t="shared" si="5"/>
        <v>0.94078947368421051</v>
      </c>
    </row>
    <row r="12" spans="1:16" x14ac:dyDescent="0.2">
      <c r="A12" s="7">
        <v>9</v>
      </c>
      <c r="B12" s="21" t="s">
        <v>38</v>
      </c>
      <c r="C12" s="22">
        <f>IFERROR(AVERAGE(production!C12,production!E12,production!G12,production!I12),"N/A")</f>
        <v>316.75</v>
      </c>
      <c r="D12" s="22">
        <f>IFERROR(AVERAGE(production!D12,production!F12,production!H12,production!J12),"N/A")</f>
        <v>989.5</v>
      </c>
      <c r="E12" s="22">
        <f>IFERROR(AVERAGE(production!K12,production!M12,production!O12,production!Q12),"N/A")</f>
        <v>331.5</v>
      </c>
      <c r="F12" s="22">
        <f>IFERROR(AVERAGE(production!L12,production!N12,production!P12,production!R12),"N/A")</f>
        <v>1001.25</v>
      </c>
      <c r="G12" s="23">
        <f t="shared" si="0"/>
        <v>4.6566692975532752E-2</v>
      </c>
      <c r="H12" s="23">
        <f t="shared" si="1"/>
        <v>1.1874684183931278E-2</v>
      </c>
      <c r="I12" s="24">
        <f>IFERROR(SUM(financials!C12,financials!E12,financials!G12,financials!I12),"N/A")</f>
        <v>3400</v>
      </c>
      <c r="J12" s="24">
        <f>IFERROR(SUM(financials!D12,financials!F12,financials!H12,financials!J12),"N/A")</f>
        <v>3160</v>
      </c>
      <c r="K12" s="24">
        <f>IFERROR(SUM(financials!K12,financials!M12,financials!O12,financials!Q12),"N/A")</f>
        <v>3350</v>
      </c>
      <c r="L12" s="24">
        <f>IFERROR(SUM(financials!L12,financials!N12,financials!P12,financials!R12),"N/A")</f>
        <v>3090</v>
      </c>
      <c r="M12" s="22">
        <f t="shared" si="2"/>
        <v>51.708333333333329</v>
      </c>
      <c r="N12" s="22">
        <f t="shared" si="3"/>
        <v>54.300559701492539</v>
      </c>
      <c r="O12" s="23">
        <f t="shared" si="4"/>
        <v>-2.2151898734177215E-2</v>
      </c>
      <c r="P12" s="23">
        <f t="shared" si="5"/>
        <v>0.92238805970149251</v>
      </c>
    </row>
    <row r="13" spans="1:16" x14ac:dyDescent="0.2">
      <c r="A13" s="10">
        <v>10</v>
      </c>
      <c r="B13" s="25" t="s">
        <v>41</v>
      </c>
      <c r="C13" s="26">
        <f>IFERROR(AVERAGE(production!C13,production!E13,production!G13,production!I13),"N/A")</f>
        <v>257.5</v>
      </c>
      <c r="D13" s="26">
        <f>IFERROR(AVERAGE(production!D13,production!F13,production!H13,production!J13),"N/A")</f>
        <v>860.5</v>
      </c>
      <c r="E13" s="26">
        <f>IFERROR(AVERAGE(production!K13,production!M13,production!O13,production!Q13),"N/A")</f>
        <v>295.75</v>
      </c>
      <c r="F13" s="26">
        <f>IFERROR(AVERAGE(production!L13,production!N13,production!P13,production!R13),"N/A")</f>
        <v>995</v>
      </c>
      <c r="G13" s="27">
        <f t="shared" si="0"/>
        <v>0.14854368932038836</v>
      </c>
      <c r="H13" s="27">
        <f t="shared" si="1"/>
        <v>0.15630447414294016</v>
      </c>
      <c r="I13" s="28">
        <f>IFERROR(SUM(financials!C13,financials!E13,financials!G13,financials!I13),"N/A")</f>
        <v>2900</v>
      </c>
      <c r="J13" s="28">
        <f>IFERROR(SUM(financials!D13,financials!F13,financials!H13,financials!J13),"N/A")</f>
        <v>2680</v>
      </c>
      <c r="K13" s="28">
        <f>IFERROR(SUM(financials!K13,financials!M13,financials!O13,financials!Q13),"N/A")</f>
        <v>3370</v>
      </c>
      <c r="L13" s="28">
        <f>IFERROR(SUM(financials!L13,financials!N13,financials!P13,financials!R13),"N/A")</f>
        <v>3330</v>
      </c>
      <c r="M13" s="26">
        <f t="shared" si="2"/>
        <v>50.460201149425281</v>
      </c>
      <c r="N13" s="26">
        <f t="shared" si="3"/>
        <v>49.993447082096942</v>
      </c>
      <c r="O13" s="27">
        <f t="shared" si="4"/>
        <v>0.24253731343283583</v>
      </c>
      <c r="P13" s="27">
        <f t="shared" si="5"/>
        <v>0.98813056379821962</v>
      </c>
    </row>
    <row r="14" spans="1:16" x14ac:dyDescent="0.2">
      <c r="A14" s="7">
        <v>11</v>
      </c>
      <c r="B14" s="21" t="s">
        <v>44</v>
      </c>
      <c r="C14" s="22">
        <f>IFERROR(AVERAGE(production!C14,production!E14,production!G14,production!I14),"N/A")</f>
        <v>480.25</v>
      </c>
      <c r="D14" s="22">
        <f>IFERROR(AVERAGE(production!D14,production!F14,production!H14,production!J14),"N/A")</f>
        <v>1402.75</v>
      </c>
      <c r="E14" s="22">
        <f>IFERROR(AVERAGE(production!K14,production!M14,production!O14,production!Q14),"N/A")</f>
        <v>508.25</v>
      </c>
      <c r="F14" s="22">
        <f>IFERROR(AVERAGE(production!L14,production!N14,production!P14,production!R14),"N/A")</f>
        <v>1466.25</v>
      </c>
      <c r="G14" s="23">
        <f t="shared" si="0"/>
        <v>5.8302967204580947E-2</v>
      </c>
      <c r="H14" s="23">
        <f t="shared" si="1"/>
        <v>4.5268223133131349E-2</v>
      </c>
      <c r="I14" s="24">
        <f>IFERROR(SUM(financials!C14,financials!E14,financials!G14,financials!I14),"N/A")</f>
        <v>5990</v>
      </c>
      <c r="J14" s="24">
        <f>IFERROR(SUM(financials!D14,financials!F14,financials!H14,financials!J14),"N/A")</f>
        <v>6900</v>
      </c>
      <c r="K14" s="24">
        <f>IFERROR(SUM(financials!K14,financials!M14,financials!O14,financials!Q14),"N/A")</f>
        <v>6110</v>
      </c>
      <c r="L14" s="24">
        <f>IFERROR(SUM(financials!L14,financials!N14,financials!P14,financials!R14),"N/A")</f>
        <v>7450</v>
      </c>
      <c r="M14" s="22">
        <f t="shared" si="2"/>
        <v>43.510051474680019</v>
      </c>
      <c r="N14" s="22">
        <f t="shared" si="3"/>
        <v>44.96041325695581</v>
      </c>
      <c r="O14" s="23">
        <f t="shared" si="4"/>
        <v>7.9710144927536225E-2</v>
      </c>
      <c r="P14" s="23">
        <f t="shared" si="5"/>
        <v>1.2193126022913257</v>
      </c>
    </row>
    <row r="15" spans="1:16" x14ac:dyDescent="0.2">
      <c r="A15" s="10">
        <v>12</v>
      </c>
      <c r="B15" s="25" t="s">
        <v>47</v>
      </c>
      <c r="C15" s="26" t="str">
        <f>IFERROR(AVERAGE(production!C15,production!E15,production!G15,production!I15),"N/A")</f>
        <v>N/A</v>
      </c>
      <c r="D15" s="26">
        <f>IFERROR(AVERAGE(production!D15,production!F15,production!H15,production!J15),"N/A")</f>
        <v>5287.5</v>
      </c>
      <c r="E15" s="26" t="str">
        <f>IFERROR(AVERAGE(production!K15,production!M15,production!O15,production!Q15),"N/A")</f>
        <v>N/A</v>
      </c>
      <c r="F15" s="26">
        <f>IFERROR(AVERAGE(production!L15,production!N15,production!P15,production!R15),"N/A")</f>
        <v>5767.5</v>
      </c>
      <c r="G15" s="27" t="str">
        <f t="shared" si="0"/>
        <v>N/A</v>
      </c>
      <c r="H15" s="27">
        <f t="shared" si="1"/>
        <v>9.0780141843971637E-2</v>
      </c>
      <c r="I15" s="28">
        <f>IFERROR(SUM(financials!C15,financials!E15,financials!G15,financials!I15),"N/A")</f>
        <v>1640</v>
      </c>
      <c r="J15" s="28">
        <f>IFERROR(SUM(financials!D15,financials!F15,financials!H15,financials!J15),"N/A")</f>
        <v>2540</v>
      </c>
      <c r="K15" s="28">
        <f>IFERROR(SUM(financials!K15,financials!M15,financials!O15,financials!Q15),"N/A")</f>
        <v>3590</v>
      </c>
      <c r="L15" s="28">
        <f>IFERROR(SUM(financials!L15,financials!N15,financials!P15,financials!R15),"N/A")</f>
        <v>2580</v>
      </c>
      <c r="M15" s="26" t="str">
        <f t="shared" si="2"/>
        <v>N/A</v>
      </c>
      <c r="N15" s="26" t="str">
        <f t="shared" si="3"/>
        <v>N/A</v>
      </c>
      <c r="O15" s="27">
        <f t="shared" si="4"/>
        <v>1.5748031496062992E-2</v>
      </c>
      <c r="P15" s="27">
        <f t="shared" si="5"/>
        <v>0.71866295264623958</v>
      </c>
    </row>
    <row r="16" spans="1:16" x14ac:dyDescent="0.2">
      <c r="A16" s="7">
        <v>13</v>
      </c>
      <c r="B16" s="21" t="s">
        <v>49</v>
      </c>
      <c r="C16" s="22">
        <f>IFERROR(AVERAGE(production!C16,production!E16,production!G16,production!I16),"N/A")</f>
        <v>13</v>
      </c>
      <c r="D16" s="22">
        <f>IFERROR(AVERAGE(production!D16,production!F16,production!H16,production!J16),"N/A")</f>
        <v>3336.5</v>
      </c>
      <c r="E16" s="22">
        <f>IFERROR(AVERAGE(production!K16,production!M16,production!O16,production!Q16),"N/A")</f>
        <v>13.25</v>
      </c>
      <c r="F16" s="22">
        <f>IFERROR(AVERAGE(production!L16,production!N16,production!P16,production!R16),"N/A")</f>
        <v>3667.75</v>
      </c>
      <c r="G16" s="23">
        <f t="shared" si="0"/>
        <v>1.9230769230769232E-2</v>
      </c>
      <c r="H16" s="23">
        <f t="shared" si="1"/>
        <v>9.9280683350816717E-2</v>
      </c>
      <c r="I16" s="24">
        <f>IFERROR(SUM(financials!C16,financials!E16,financials!G16,financials!I16),"N/A")</f>
        <v>2255</v>
      </c>
      <c r="J16" s="24">
        <f>IFERROR(SUM(financials!D16,financials!F16,financials!H16,financials!J16),"N/A")</f>
        <v>1805</v>
      </c>
      <c r="K16" s="24">
        <f>IFERROR(SUM(financials!K16,financials!M16,financials!O16,financials!Q16),"N/A")</f>
        <v>2240</v>
      </c>
      <c r="L16" s="24">
        <f>IFERROR(SUM(financials!L16,financials!N16,financials!P16,financials!R16),"N/A")</f>
        <v>2050</v>
      </c>
      <c r="M16" s="22">
        <f t="shared" si="2"/>
        <v>92.113266814486337</v>
      </c>
      <c r="N16" s="22">
        <f t="shared" si="3"/>
        <v>101.76683407738095</v>
      </c>
      <c r="O16" s="23">
        <f t="shared" si="4"/>
        <v>0.13573407202216067</v>
      </c>
      <c r="P16" s="23">
        <f t="shared" si="5"/>
        <v>0.9151785714285714</v>
      </c>
    </row>
    <row r="17" spans="1:16" x14ac:dyDescent="0.2">
      <c r="A17" s="10">
        <v>14</v>
      </c>
      <c r="B17" s="25" t="s">
        <v>53</v>
      </c>
      <c r="C17" s="26">
        <f>IFERROR(AVERAGE(production!C17,production!E17,production!G17,production!I17),"N/A")</f>
        <v>1509</v>
      </c>
      <c r="D17" s="26">
        <f>IFERROR(AVERAGE(production!D17,production!F17,production!H17,production!J17),"N/A")</f>
        <v>4158</v>
      </c>
      <c r="E17" s="26">
        <f>IFERROR(AVERAGE(production!K17,production!M17,production!O17,production!Q17),"N/A")</f>
        <v>1596</v>
      </c>
      <c r="F17" s="26">
        <f>IFERROR(AVERAGE(production!L17,production!N17,production!P17,production!R17),"N/A")</f>
        <v>5193</v>
      </c>
      <c r="G17" s="27">
        <f t="shared" si="0"/>
        <v>5.7654075546719682E-2</v>
      </c>
      <c r="H17" s="27">
        <f t="shared" si="1"/>
        <v>0.24891774891774893</v>
      </c>
      <c r="I17" s="28">
        <f>IFERROR(SUM(financials!C17,financials!E17,financials!G17,financials!I17),"N/A")</f>
        <v>22300</v>
      </c>
      <c r="J17" s="28">
        <f>IFERROR(SUM(financials!D17,financials!F17,financials!H17,financials!J17),"N/A")</f>
        <v>31000</v>
      </c>
      <c r="K17" s="28">
        <f>IFERROR(SUM(financials!K17,financials!M17,financials!O17,financials!Q17),"N/A")</f>
        <v>23400</v>
      </c>
      <c r="L17" s="28">
        <f>IFERROR(SUM(financials!L17,financials!N17,financials!P17,financials!R17),"N/A")</f>
        <v>33800</v>
      </c>
      <c r="M17" s="26">
        <f t="shared" si="2"/>
        <v>36.041704035874439</v>
      </c>
      <c r="N17" s="26">
        <f t="shared" si="3"/>
        <v>38.395192307692305</v>
      </c>
      <c r="O17" s="27">
        <f t="shared" si="4"/>
        <v>9.0322580645161285E-2</v>
      </c>
      <c r="P17" s="27">
        <f t="shared" si="5"/>
        <v>1.4444444444444444</v>
      </c>
    </row>
    <row r="18" spans="1:16" x14ac:dyDescent="0.2">
      <c r="A18" s="7">
        <v>15</v>
      </c>
      <c r="B18" s="21" t="s">
        <v>56</v>
      </c>
      <c r="C18" s="22">
        <f>IFERROR(AVERAGE(production!C18,production!E18,production!G18,production!I18),"N/A")</f>
        <v>361.25</v>
      </c>
      <c r="D18" s="22" t="str">
        <f>IFERROR(AVERAGE(production!D18,production!F18,production!H18,production!J18),"N/A")</f>
        <v>N/A</v>
      </c>
      <c r="E18" s="22">
        <f>IFERROR(AVERAGE(production!K18,production!M18,production!O18,production!Q18),"N/A")</f>
        <v>395.75</v>
      </c>
      <c r="F18" s="22" t="str">
        <f>IFERROR(AVERAGE(production!L18,production!N18,production!P18,production!R18),"N/A")</f>
        <v>N/A</v>
      </c>
      <c r="G18" s="23">
        <f t="shared" si="0"/>
        <v>9.5501730103806234E-2</v>
      </c>
      <c r="H18" s="23" t="str">
        <f t="shared" si="1"/>
        <v>N/A</v>
      </c>
      <c r="I18" s="24">
        <f>IFERROR(SUM(financials!C18,financials!E18,financials!G18,financials!I18),"N/A")</f>
        <v>1440</v>
      </c>
      <c r="J18" s="24">
        <f>IFERROR(SUM(financials!D18,financials!F18,financials!H18,financials!J18),"N/A")</f>
        <v>2080</v>
      </c>
      <c r="K18" s="24">
        <f>IFERROR(SUM(financials!K18,financials!M18,financials!O18,financials!Q18),"N/A")</f>
        <v>1510</v>
      </c>
      <c r="L18" s="24">
        <f>IFERROR(SUM(financials!L18,financials!N18,financials!P18,financials!R18),"N/A")</f>
        <v>2400</v>
      </c>
      <c r="M18" s="22" t="str">
        <f t="shared" si="2"/>
        <v>N/A</v>
      </c>
      <c r="N18" s="22" t="str">
        <f t="shared" si="3"/>
        <v>N/A</v>
      </c>
      <c r="O18" s="23">
        <f t="shared" si="4"/>
        <v>0.15384615384615385</v>
      </c>
      <c r="P18" s="23">
        <f t="shared" si="5"/>
        <v>1.5894039735099337</v>
      </c>
    </row>
    <row r="19" spans="1:16" x14ac:dyDescent="0.2">
      <c r="A19" s="10">
        <v>16</v>
      </c>
      <c r="B19" s="25" t="s">
        <v>59</v>
      </c>
      <c r="C19" s="26">
        <f>IFERROR(AVERAGE(production!C19,production!E19,production!G19,production!I19),"N/A")</f>
        <v>71.5</v>
      </c>
      <c r="D19" s="26">
        <f>IFERROR(AVERAGE(production!D19,production!F19,production!H19,production!J19),"N/A")</f>
        <v>322.25</v>
      </c>
      <c r="E19" s="26">
        <f>IFERROR(AVERAGE(production!K19,production!M19,production!O19,production!Q19),"N/A")</f>
        <v>89.75</v>
      </c>
      <c r="F19" s="26">
        <f>IFERROR(AVERAGE(production!L19,production!N19,production!P19,production!R19),"N/A")</f>
        <v>384.5</v>
      </c>
      <c r="G19" s="27">
        <f t="shared" si="0"/>
        <v>0.25524475524475526</v>
      </c>
      <c r="H19" s="27">
        <f t="shared" si="1"/>
        <v>0.19317300232738557</v>
      </c>
      <c r="I19" s="28">
        <f>IFERROR(SUM(financials!C19,financials!E19,financials!G19,financials!I19),"N/A")</f>
        <v>1480</v>
      </c>
      <c r="J19" s="28">
        <f>IFERROR(SUM(financials!D19,financials!F19,financials!H19,financials!J19),"N/A")</f>
        <v>466</v>
      </c>
      <c r="K19" s="28">
        <f>IFERROR(SUM(financials!K19,financials!M19,financials!O19,financials!Q19),"N/A")</f>
        <v>1490</v>
      </c>
      <c r="L19" s="28">
        <f>IFERROR(SUM(financials!L19,financials!N19,financials!P19,financials!R19),"N/A")</f>
        <v>810</v>
      </c>
      <c r="M19" s="26">
        <f t="shared" si="2"/>
        <v>30.879082207207212</v>
      </c>
      <c r="N19" s="26">
        <f t="shared" si="3"/>
        <v>37.684004474272925</v>
      </c>
      <c r="O19" s="27">
        <f t="shared" si="4"/>
        <v>0.7381974248927039</v>
      </c>
      <c r="P19" s="27">
        <f t="shared" si="5"/>
        <v>0.5436241610738255</v>
      </c>
    </row>
    <row r="20" spans="1:16" x14ac:dyDescent="0.2">
      <c r="A20" s="7">
        <v>17</v>
      </c>
      <c r="B20" s="21" t="s">
        <v>62</v>
      </c>
      <c r="C20" s="22">
        <f>IFERROR(AVERAGE(production!C20,production!E20,production!G20,production!I20),"N/A")</f>
        <v>487</v>
      </c>
      <c r="D20" s="22">
        <f>IFERROR(AVERAGE(production!D20,production!F20,production!H20,production!J20),"N/A")</f>
        <v>2290.5</v>
      </c>
      <c r="E20" s="22">
        <f>IFERROR(AVERAGE(production!K20,production!M20,production!O20,production!Q20),"N/A")</f>
        <v>553.5</v>
      </c>
      <c r="F20" s="22">
        <f>IFERROR(AVERAGE(production!L20,production!N20,production!P20,production!R20),"N/A")</f>
        <v>2508</v>
      </c>
      <c r="G20" s="23">
        <f t="shared" si="0"/>
        <v>0.13655030800821355</v>
      </c>
      <c r="H20" s="23">
        <f t="shared" si="1"/>
        <v>9.4957432874918146E-2</v>
      </c>
      <c r="I20" s="24">
        <f>IFERROR(SUM(financials!C20,financials!E20,financials!G20,financials!I20),"N/A")</f>
        <v>6450</v>
      </c>
      <c r="J20" s="24">
        <f>IFERROR(SUM(financials!D20,financials!F20,financials!H20,financials!J20),"N/A")</f>
        <v>4330</v>
      </c>
      <c r="K20" s="24">
        <f>IFERROR(SUM(financials!K20,financials!M20,financials!O20,financials!Q20),"N/A")</f>
        <v>7550</v>
      </c>
      <c r="L20" s="24">
        <f>IFERROR(SUM(financials!L20,financials!N20,financials!P20,financials!R20),"N/A")</f>
        <v>3620</v>
      </c>
      <c r="M20" s="22">
        <f t="shared" si="2"/>
        <v>49.161821705426355</v>
      </c>
      <c r="N20" s="22">
        <f t="shared" si="3"/>
        <v>46.966556291390731</v>
      </c>
      <c r="O20" s="23">
        <f t="shared" si="4"/>
        <v>-0.16397228637413394</v>
      </c>
      <c r="P20" s="23">
        <f t="shared" si="5"/>
        <v>0.47947019867549667</v>
      </c>
    </row>
    <row r="21" spans="1:16" x14ac:dyDescent="0.2">
      <c r="A21" s="10">
        <v>18</v>
      </c>
      <c r="B21" s="25" t="s">
        <v>65</v>
      </c>
      <c r="C21" s="26">
        <f>IFERROR(AVERAGE(production!C21,production!E21,production!G21,production!I21),"N/A")</f>
        <v>672.5</v>
      </c>
      <c r="D21" s="26">
        <f>IFERROR(AVERAGE(production!D21,production!F21,production!H21,production!J21),"N/A")</f>
        <v>435.75</v>
      </c>
      <c r="E21" s="26">
        <f>IFERROR(AVERAGE(production!K21,production!M21,production!O21,production!Q21),"N/A")</f>
        <v>754.5</v>
      </c>
      <c r="F21" s="26">
        <f>IFERROR(AVERAGE(production!L21,production!N21,production!P21,production!R21),"N/A")</f>
        <v>442.5</v>
      </c>
      <c r="G21" s="27">
        <f t="shared" si="0"/>
        <v>0.12193308550185873</v>
      </c>
      <c r="H21" s="27">
        <f t="shared" si="1"/>
        <v>1.549053356282272E-2</v>
      </c>
      <c r="I21" s="28">
        <f>IFERROR(SUM(financials!C21,financials!E21,financials!G21,financials!I21),"N/A")</f>
        <v>4500</v>
      </c>
      <c r="J21" s="28">
        <f>IFERROR(SUM(financials!D21,financials!F21,financials!H21,financials!J21),"N/A")</f>
        <v>7200</v>
      </c>
      <c r="K21" s="28">
        <f>IFERROR(SUM(financials!K21,financials!M21,financials!O21,financials!Q21),"N/A")</f>
        <v>4550</v>
      </c>
      <c r="L21" s="28">
        <f>IFERROR(SUM(financials!L21,financials!N21,financials!P21,financials!R21),"N/A")</f>
        <v>7300</v>
      </c>
      <c r="M21" s="26">
        <f t="shared" si="2"/>
        <v>60.437916666666666</v>
      </c>
      <c r="N21" s="26">
        <f t="shared" si="3"/>
        <v>66.442032967032972</v>
      </c>
      <c r="O21" s="27">
        <f t="shared" si="4"/>
        <v>1.3888888888888888E-2</v>
      </c>
      <c r="P21" s="27">
        <f t="shared" si="5"/>
        <v>1.6043956043956045</v>
      </c>
    </row>
    <row r="22" spans="1:16" x14ac:dyDescent="0.2">
      <c r="A22" s="7">
        <v>19</v>
      </c>
      <c r="B22" s="21" t="s">
        <v>68</v>
      </c>
      <c r="C22" s="22">
        <f>IFERROR(AVERAGE(production!C22,production!E22,production!G22,production!I22),"N/A")</f>
        <v>122.5</v>
      </c>
      <c r="D22" s="22">
        <f>IFERROR(AVERAGE(production!D22,production!F22,production!H22,production!J22),"N/A")</f>
        <v>367.5</v>
      </c>
      <c r="E22" s="22">
        <f>IFERROR(AVERAGE(production!K22,production!M22,production!O22,production!Q22),"N/A")</f>
        <v>170.75</v>
      </c>
      <c r="F22" s="22">
        <f>IFERROR(AVERAGE(production!L22,production!N22,production!P22,production!R22),"N/A")</f>
        <v>504.25</v>
      </c>
      <c r="G22" s="23">
        <f t="shared" si="0"/>
        <v>0.39387755102040817</v>
      </c>
      <c r="H22" s="23">
        <f t="shared" si="1"/>
        <v>0.37210884353741497</v>
      </c>
      <c r="I22" s="24">
        <f>IFERROR(SUM(financials!C22,financials!E22,financials!G22,financials!I22),"N/A")</f>
        <v>1830</v>
      </c>
      <c r="J22" s="24">
        <f>IFERROR(SUM(financials!D22,financials!F22,financials!H22,financials!J22),"N/A")</f>
        <v>660</v>
      </c>
      <c r="K22" s="24">
        <f>IFERROR(SUM(financials!K22,financials!M22,financials!O22,financials!Q22),"N/A")</f>
        <v>1990</v>
      </c>
      <c r="L22" s="24">
        <f>IFERROR(SUM(financials!L22,financials!N22,financials!P22,financials!R22),"N/A")</f>
        <v>1320</v>
      </c>
      <c r="M22" s="22">
        <f t="shared" si="2"/>
        <v>36.649590163934427</v>
      </c>
      <c r="N22" s="22">
        <f t="shared" si="3"/>
        <v>46.733144891122286</v>
      </c>
      <c r="O22" s="23">
        <f t="shared" si="4"/>
        <v>1</v>
      </c>
      <c r="P22" s="23">
        <f t="shared" si="5"/>
        <v>0.66331658291457285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zoomScaleNormal="100" workbookViewId="0"/>
  </sheetViews>
  <sheetFormatPr baseColWidth="10" defaultColWidth="8.6640625" defaultRowHeight="15" x14ac:dyDescent="0.2"/>
  <cols>
    <col min="1" max="1" width="28" customWidth="1"/>
    <col min="2" max="2" width="20" customWidth="1"/>
    <col min="3" max="3" width="30" customWidth="1"/>
    <col min="4" max="4" width="50" customWidth="1"/>
    <col min="5" max="5" width="60" customWidth="1"/>
  </cols>
  <sheetData>
    <row r="1" spans="1:5" ht="18" x14ac:dyDescent="0.2">
      <c r="A1" s="2" t="s">
        <v>122</v>
      </c>
      <c r="B1" s="2"/>
      <c r="C1" s="2"/>
      <c r="D1" s="2"/>
      <c r="E1" s="2"/>
    </row>
    <row r="2" spans="1:5" x14ac:dyDescent="0.2">
      <c r="A2" s="4" t="s">
        <v>123</v>
      </c>
      <c r="B2" s="4" t="s">
        <v>124</v>
      </c>
      <c r="C2" s="4" t="s">
        <v>125</v>
      </c>
      <c r="D2" s="4" t="s">
        <v>126</v>
      </c>
      <c r="E2" s="4" t="s">
        <v>127</v>
      </c>
    </row>
    <row r="3" spans="1:5" x14ac:dyDescent="0.2">
      <c r="A3" s="6" t="s">
        <v>128</v>
      </c>
      <c r="B3" s="6" t="s">
        <v>129</v>
      </c>
      <c r="C3" s="6" t="s">
        <v>130</v>
      </c>
      <c r="D3" s="6" t="s">
        <v>131</v>
      </c>
      <c r="E3" s="6" t="s">
        <v>132</v>
      </c>
    </row>
    <row r="4" spans="1:5" x14ac:dyDescent="0.2">
      <c r="A4" s="9" t="s">
        <v>8</v>
      </c>
      <c r="B4" s="9" t="s">
        <v>133</v>
      </c>
      <c r="C4" s="9" t="s">
        <v>134</v>
      </c>
      <c r="D4" s="9" t="s">
        <v>135</v>
      </c>
      <c r="E4" s="9" t="s">
        <v>136</v>
      </c>
    </row>
    <row r="5" spans="1:5" x14ac:dyDescent="0.2">
      <c r="A5" s="6" t="s">
        <v>14</v>
      </c>
      <c r="B5" s="6" t="s">
        <v>133</v>
      </c>
      <c r="C5" s="6" t="s">
        <v>137</v>
      </c>
      <c r="D5" s="6" t="s">
        <v>138</v>
      </c>
      <c r="E5" s="6" t="s">
        <v>139</v>
      </c>
    </row>
    <row r="6" spans="1:5" x14ac:dyDescent="0.2">
      <c r="A6" s="9" t="s">
        <v>17</v>
      </c>
      <c r="B6" s="9" t="s">
        <v>133</v>
      </c>
      <c r="C6" s="9" t="s">
        <v>140</v>
      </c>
      <c r="D6" s="9" t="s">
        <v>141</v>
      </c>
      <c r="E6" s="9" t="s">
        <v>142</v>
      </c>
    </row>
    <row r="7" spans="1:5" x14ac:dyDescent="0.2">
      <c r="A7" s="6" t="s">
        <v>22</v>
      </c>
      <c r="B7" s="6" t="s">
        <v>133</v>
      </c>
      <c r="C7" s="6" t="s">
        <v>143</v>
      </c>
      <c r="D7" s="6" t="s">
        <v>144</v>
      </c>
      <c r="E7" s="6" t="s">
        <v>145</v>
      </c>
    </row>
    <row r="8" spans="1:5" x14ac:dyDescent="0.2">
      <c r="A8" s="9" t="s">
        <v>25</v>
      </c>
      <c r="B8" s="9" t="s">
        <v>133</v>
      </c>
      <c r="C8" s="9" t="s">
        <v>134</v>
      </c>
      <c r="D8" s="9" t="s">
        <v>146</v>
      </c>
      <c r="E8" s="9" t="s">
        <v>147</v>
      </c>
    </row>
    <row r="9" spans="1:5" x14ac:dyDescent="0.2">
      <c r="A9" s="6" t="s">
        <v>29</v>
      </c>
      <c r="B9" s="6" t="s">
        <v>133</v>
      </c>
      <c r="C9" s="6" t="s">
        <v>134</v>
      </c>
      <c r="D9" s="6" t="s">
        <v>148</v>
      </c>
      <c r="E9" s="6" t="s">
        <v>149</v>
      </c>
    </row>
    <row r="10" spans="1:5" x14ac:dyDescent="0.2">
      <c r="A10" s="9" t="s">
        <v>32</v>
      </c>
      <c r="B10" s="9" t="s">
        <v>133</v>
      </c>
      <c r="C10" s="9" t="s">
        <v>134</v>
      </c>
      <c r="D10" s="9" t="s">
        <v>150</v>
      </c>
      <c r="E10" s="9" t="s">
        <v>151</v>
      </c>
    </row>
    <row r="11" spans="1:5" x14ac:dyDescent="0.2">
      <c r="A11" s="6" t="s">
        <v>35</v>
      </c>
      <c r="B11" s="6" t="s">
        <v>133</v>
      </c>
      <c r="C11" s="6" t="s">
        <v>134</v>
      </c>
      <c r="D11" s="6" t="s">
        <v>152</v>
      </c>
      <c r="E11" s="6" t="s">
        <v>153</v>
      </c>
    </row>
    <row r="12" spans="1:5" x14ac:dyDescent="0.2">
      <c r="A12" s="9" t="s">
        <v>38</v>
      </c>
      <c r="B12" s="9" t="s">
        <v>133</v>
      </c>
      <c r="C12" s="9" t="s">
        <v>134</v>
      </c>
      <c r="D12" s="9" t="s">
        <v>154</v>
      </c>
      <c r="E12" s="9" t="s">
        <v>155</v>
      </c>
    </row>
    <row r="13" spans="1:5" x14ac:dyDescent="0.2">
      <c r="A13" s="6" t="s">
        <v>41</v>
      </c>
      <c r="B13" s="6" t="s">
        <v>133</v>
      </c>
      <c r="C13" s="6" t="s">
        <v>134</v>
      </c>
      <c r="D13" s="6" t="s">
        <v>156</v>
      </c>
      <c r="E13" s="6" t="s">
        <v>157</v>
      </c>
    </row>
    <row r="14" spans="1:5" x14ac:dyDescent="0.2">
      <c r="A14" s="9" t="s">
        <v>44</v>
      </c>
      <c r="B14" s="9" t="s">
        <v>133</v>
      </c>
      <c r="C14" s="9" t="s">
        <v>134</v>
      </c>
      <c r="D14" s="9" t="s">
        <v>158</v>
      </c>
      <c r="E14" s="9" t="s">
        <v>159</v>
      </c>
    </row>
    <row r="15" spans="1:5" x14ac:dyDescent="0.2">
      <c r="A15" s="6" t="s">
        <v>47</v>
      </c>
      <c r="B15" s="6" t="s">
        <v>133</v>
      </c>
      <c r="C15" s="6" t="s">
        <v>134</v>
      </c>
      <c r="D15" s="6" t="s">
        <v>160</v>
      </c>
      <c r="E15" s="6" t="s">
        <v>161</v>
      </c>
    </row>
    <row r="16" spans="1:5" x14ac:dyDescent="0.2">
      <c r="A16" s="9" t="s">
        <v>49</v>
      </c>
      <c r="B16" s="9" t="s">
        <v>133</v>
      </c>
      <c r="C16" s="9" t="s">
        <v>134</v>
      </c>
      <c r="D16" s="9" t="s">
        <v>162</v>
      </c>
      <c r="E16" s="9" t="s">
        <v>163</v>
      </c>
    </row>
    <row r="17" spans="1:5" x14ac:dyDescent="0.2">
      <c r="A17" s="6" t="s">
        <v>53</v>
      </c>
      <c r="B17" s="6" t="s">
        <v>133</v>
      </c>
      <c r="C17" s="6" t="s">
        <v>134</v>
      </c>
      <c r="D17" s="6" t="s">
        <v>164</v>
      </c>
      <c r="E17" s="6" t="s">
        <v>165</v>
      </c>
    </row>
    <row r="18" spans="1:5" x14ac:dyDescent="0.2">
      <c r="A18" s="9" t="s">
        <v>56</v>
      </c>
      <c r="B18" s="9" t="s">
        <v>133</v>
      </c>
      <c r="C18" s="9" t="s">
        <v>166</v>
      </c>
      <c r="D18" s="9" t="s">
        <v>167</v>
      </c>
      <c r="E18" s="9" t="s">
        <v>168</v>
      </c>
    </row>
    <row r="19" spans="1:5" x14ac:dyDescent="0.2">
      <c r="A19" s="6" t="s">
        <v>59</v>
      </c>
      <c r="B19" s="6" t="s">
        <v>133</v>
      </c>
      <c r="C19" s="6" t="s">
        <v>134</v>
      </c>
      <c r="D19" s="6" t="s">
        <v>169</v>
      </c>
      <c r="E19" s="6" t="s">
        <v>170</v>
      </c>
    </row>
    <row r="20" spans="1:5" x14ac:dyDescent="0.2">
      <c r="A20" s="9" t="s">
        <v>62</v>
      </c>
      <c r="B20" s="9" t="s">
        <v>133</v>
      </c>
      <c r="C20" s="9" t="s">
        <v>134</v>
      </c>
      <c r="D20" s="9" t="s">
        <v>171</v>
      </c>
      <c r="E20" s="9" t="s">
        <v>172</v>
      </c>
    </row>
    <row r="21" spans="1:5" x14ac:dyDescent="0.2">
      <c r="A21" s="6" t="s">
        <v>65</v>
      </c>
      <c r="B21" s="6" t="s">
        <v>133</v>
      </c>
      <c r="C21" s="6" t="s">
        <v>173</v>
      </c>
      <c r="D21" s="6" t="s">
        <v>174</v>
      </c>
      <c r="E21" s="6" t="s">
        <v>175</v>
      </c>
    </row>
    <row r="22" spans="1:5" x14ac:dyDescent="0.2">
      <c r="A22" s="9" t="s">
        <v>68</v>
      </c>
      <c r="B22" s="9" t="s">
        <v>133</v>
      </c>
      <c r="C22" s="9" t="s">
        <v>134</v>
      </c>
      <c r="D22" s="9" t="s">
        <v>176</v>
      </c>
      <c r="E22" s="9" t="s">
        <v>177</v>
      </c>
    </row>
    <row r="23" spans="1:5" x14ac:dyDescent="0.2">
      <c r="A23" s="6" t="s">
        <v>178</v>
      </c>
      <c r="B23" s="6" t="s">
        <v>179</v>
      </c>
      <c r="C23" s="6" t="s">
        <v>180</v>
      </c>
      <c r="D23" s="6" t="s">
        <v>181</v>
      </c>
      <c r="E23" s="6" t="s">
        <v>182</v>
      </c>
    </row>
    <row r="24" spans="1:5" x14ac:dyDescent="0.2">
      <c r="A24" s="9" t="s">
        <v>183</v>
      </c>
      <c r="B24" s="9" t="s">
        <v>184</v>
      </c>
      <c r="C24" s="9" t="s">
        <v>185</v>
      </c>
      <c r="D24" s="9" t="s">
        <v>186</v>
      </c>
      <c r="E24" s="9" t="s">
        <v>187</v>
      </c>
    </row>
    <row r="25" spans="1:5" x14ac:dyDescent="0.2">
      <c r="A25" s="6" t="s">
        <v>188</v>
      </c>
      <c r="B25" s="6" t="s">
        <v>189</v>
      </c>
      <c r="C25" s="6" t="s">
        <v>190</v>
      </c>
      <c r="D25" s="6" t="s">
        <v>189</v>
      </c>
      <c r="E25" s="6" t="s">
        <v>191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operators</vt:lpstr>
      <vt:lpstr>production</vt:lpstr>
      <vt:lpstr>financials</vt:lpstr>
      <vt:lpstr>calculations</vt:lpstr>
      <vt:lpstr>data_sources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 Rodriguez</cp:lastModifiedBy>
  <cp:revision>0</cp:revision>
  <dcterms:created xsi:type="dcterms:W3CDTF">2026-03-11T03:59:30Z</dcterms:created>
  <dcterms:modified xsi:type="dcterms:W3CDTF">2026-03-11T04:08:27Z</dcterms:modified>
  <dc:language>en-US</dc:language>
</cp:coreProperties>
</file>